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ference" sheetId="2" state="visible" r:id="rId4"/>
    <sheet name="Transactions" sheetId="3" state="visible" r:id="rId5"/>
    <sheet name="Dashboard" sheetId="4" state="visible" r:id="rId6"/>
    <sheet name="VBA_Code" sheetId="5" state="visible" r:id="rId7"/>
  </sheets>
  <definedNames>
    <definedName function="false" hidden="false" name="SARThreshold" vbProcedure="false">Reference!$C$38</definedName>
    <definedName function="false" hidden="false" name="WRuleAfterHours" vbProcedure="false">Reference!$C$32</definedName>
    <definedName function="false" hidden="false" name="WRuleAmt10k" vbProcedure="false">Reference!$C$29</definedName>
    <definedName function="false" hidden="false" name="WRulePEP" vbProcedure="false">Reference!$C$34</definedName>
    <definedName function="false" hidden="false" name="WRuleRound" vbProcedure="false">Reference!$C$31</definedName>
    <definedName function="false" hidden="false" name="WRuleStructure" vbProcedure="false">Reference!$C$30</definedName>
    <definedName function="false" hidden="false" name="WRuleVelocity" vbProcedure="false">Reference!$C$35</definedName>
    <definedName function="false" hidden="false" name="WRuleWeekend" vbProcedure="false">Reference!$C$33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<sst xmlns="http://schemas.openxmlformats.org/spreadsheetml/2006/main" count="1310" uniqueCount="422">
  <si>
    <t xml:space="preserve">AML / KYC TRANSACTION MONITORING</t>
  </si>
  <si>
    <t xml:space="preserve">Suspicious Activity Scoring · Country Risk · SAR Queue</t>
  </si>
  <si>
    <t xml:space="preserve">Rule-based transaction monitoring engine that screens a 200-row transaction log against AML red-flag criteria: large cash movements, structuring near $10K, high-risk jurisdictions, PEP exposure, velocity spikes, and round-number patterns. Each transaction gets a composite risk score (0–100) computed via weighted SUMPRODUCT of rule hits. Transactions scoring above threshold are auto-flagged and pushed to a SAR queue by a VBA macro. Demonstrates the analytical toolkit expected in an AML Investigator, Compliance Analyst, or Financial Crime role.</t>
  </si>
  <si>
    <t xml:space="preserve">COUNTRY RISK TIERS</t>
  </si>
  <si>
    <t xml:space="preserve">TRANSACTION TYPE RISK</t>
  </si>
  <si>
    <t xml:space="preserve">Country</t>
  </si>
  <si>
    <t xml:space="preserve">Tier</t>
  </si>
  <si>
    <t xml:space="preserve">Score</t>
  </si>
  <si>
    <t xml:space="preserve">Type</t>
  </si>
  <si>
    <t xml:space="preserve">Base Score</t>
  </si>
  <si>
    <t xml:space="preserve">Canada</t>
  </si>
  <si>
    <t xml:space="preserve">Low</t>
  </si>
  <si>
    <t xml:space="preserve">Wire Transfer</t>
  </si>
  <si>
    <t xml:space="preserve">USA</t>
  </si>
  <si>
    <t xml:space="preserve">Cash Deposit</t>
  </si>
  <si>
    <t xml:space="preserve">UK</t>
  </si>
  <si>
    <t xml:space="preserve">Cash Withdrawal</t>
  </si>
  <si>
    <t xml:space="preserve">Germany</t>
  </si>
  <si>
    <t xml:space="preserve">ACH</t>
  </si>
  <si>
    <t xml:space="preserve">Japan</t>
  </si>
  <si>
    <t xml:space="preserve">Cheque</t>
  </si>
  <si>
    <t xml:space="preserve">Australia</t>
  </si>
  <si>
    <t xml:space="preserve">International Wire</t>
  </si>
  <si>
    <t xml:space="preserve">Singapore</t>
  </si>
  <si>
    <t xml:space="preserve">Crypto On-Ramp</t>
  </si>
  <si>
    <t xml:space="preserve">France</t>
  </si>
  <si>
    <t xml:space="preserve">Money Order</t>
  </si>
  <si>
    <t xml:space="preserve">UAE</t>
  </si>
  <si>
    <t xml:space="preserve">Medium</t>
  </si>
  <si>
    <t xml:space="preserve">India</t>
  </si>
  <si>
    <t xml:space="preserve">Brazil</t>
  </si>
  <si>
    <t xml:space="preserve">Mexico</t>
  </si>
  <si>
    <t xml:space="preserve">China</t>
  </si>
  <si>
    <t xml:space="preserve">Turkey</t>
  </si>
  <si>
    <t xml:space="preserve">Cyprus</t>
  </si>
  <si>
    <t xml:space="preserve">High</t>
  </si>
  <si>
    <t xml:space="preserve">Panama</t>
  </si>
  <si>
    <t xml:space="preserve">Cayman Islands</t>
  </si>
  <si>
    <t xml:space="preserve">BVI</t>
  </si>
  <si>
    <t xml:space="preserve">Russia</t>
  </si>
  <si>
    <t xml:space="preserve">Sanctioned</t>
  </si>
  <si>
    <t xml:space="preserve">North Korea</t>
  </si>
  <si>
    <t xml:space="preserve">Iran</t>
  </si>
  <si>
    <t xml:space="preserve">RULE WEIGHTS (adjustable)</t>
  </si>
  <si>
    <t xml:space="preserve">Amount &gt; $10,000</t>
  </si>
  <si>
    <t xml:space="preserve">points</t>
  </si>
  <si>
    <t xml:space="preserve">Amount $9,000–$9,999 (structuring)</t>
  </si>
  <si>
    <t xml:space="preserve">Round number ($1K multiple)</t>
  </si>
  <si>
    <t xml:space="preserve">After-hours (before 7am / after 9pm)</t>
  </si>
  <si>
    <t xml:space="preserve">Weekend transaction</t>
  </si>
  <si>
    <t xml:space="preserve">PEP Flagged Counterparty</t>
  </si>
  <si>
    <t xml:space="preserve">High velocity (&gt;10 txns/day)</t>
  </si>
  <si>
    <t xml:space="preserve">SAR Threshold Score</t>
  </si>
  <si>
    <t xml:space="preserve">TRANSACTION LOG (auto-scored)</t>
  </si>
  <si>
    <t xml:space="preserve">Txn ID</t>
  </si>
  <si>
    <t xml:space="preserve">Date</t>
  </si>
  <si>
    <t xml:space="preserve">Time</t>
  </si>
  <si>
    <t xml:space="preserve">Customer ID</t>
  </si>
  <si>
    <t xml:space="preserve">Amount ($)</t>
  </si>
  <si>
    <t xml:space="preserve">PEP?</t>
  </si>
  <si>
    <t xml:space="preserve">Country Score</t>
  </si>
  <si>
    <t xml:space="preserve">Type Score</t>
  </si>
  <si>
    <t xml:space="preserve">Risk Score</t>
  </si>
  <si>
    <t xml:space="preserve">SAR Flag</t>
  </si>
  <si>
    <t xml:space="preserve">TXN-10000</t>
  </si>
  <si>
    <t xml:space="preserve">03:30</t>
  </si>
  <si>
    <t xml:space="preserve">CUST-1007</t>
  </si>
  <si>
    <t xml:space="preserve">No</t>
  </si>
  <si>
    <t xml:space="preserve">TXN-10001</t>
  </si>
  <si>
    <t xml:space="preserve">01:00</t>
  </si>
  <si>
    <t xml:space="preserve">CUST-1006</t>
  </si>
  <si>
    <t xml:space="preserve">TXN-10002</t>
  </si>
  <si>
    <t xml:space="preserve">22:45</t>
  </si>
  <si>
    <t xml:space="preserve">TXN-10003</t>
  </si>
  <si>
    <t xml:space="preserve">08:15</t>
  </si>
  <si>
    <t xml:space="preserve">CUST-1030</t>
  </si>
  <si>
    <t xml:space="preserve">TXN-10004</t>
  </si>
  <si>
    <t xml:space="preserve">11:30</t>
  </si>
  <si>
    <t xml:space="preserve">CUST-1025</t>
  </si>
  <si>
    <t xml:space="preserve">Yes</t>
  </si>
  <si>
    <t xml:space="preserve">TXN-10005</t>
  </si>
  <si>
    <t xml:space="preserve">20:30</t>
  </si>
  <si>
    <t xml:space="preserve">CUST-1018</t>
  </si>
  <si>
    <t xml:space="preserve">TXN-10006</t>
  </si>
  <si>
    <t xml:space="preserve">07:00</t>
  </si>
  <si>
    <t xml:space="preserve">CUST-1012</t>
  </si>
  <si>
    <t xml:space="preserve">TXN-10007</t>
  </si>
  <si>
    <t xml:space="preserve">08:00</t>
  </si>
  <si>
    <t xml:space="preserve">CUST-1019</t>
  </si>
  <si>
    <t xml:space="preserve">TXN-10008</t>
  </si>
  <si>
    <t xml:space="preserve">20:44</t>
  </si>
  <si>
    <t xml:space="preserve">TXN-10009</t>
  </si>
  <si>
    <t xml:space="preserve">CUST-1029</t>
  </si>
  <si>
    <t xml:space="preserve">TXN-10010</t>
  </si>
  <si>
    <t xml:space="preserve">20:15</t>
  </si>
  <si>
    <t xml:space="preserve">CUST-1008</t>
  </si>
  <si>
    <t xml:space="preserve">TXN-10011</t>
  </si>
  <si>
    <t xml:space="preserve">12:15</t>
  </si>
  <si>
    <t xml:space="preserve">CUST-1004</t>
  </si>
  <si>
    <t xml:space="preserve">TXN-10012</t>
  </si>
  <si>
    <t xml:space="preserve">21:27</t>
  </si>
  <si>
    <t xml:space="preserve">CUST-1002</t>
  </si>
  <si>
    <t xml:space="preserve">TXN-10013</t>
  </si>
  <si>
    <t xml:space="preserve">21:00</t>
  </si>
  <si>
    <t xml:space="preserve">CUST-1021</t>
  </si>
  <si>
    <t xml:space="preserve">TXN-10014</t>
  </si>
  <si>
    <t xml:space="preserve">14:30</t>
  </si>
  <si>
    <t xml:space="preserve">CUST-1016</t>
  </si>
  <si>
    <t xml:space="preserve">TXN-10015</t>
  </si>
  <si>
    <t xml:space="preserve">16:15</t>
  </si>
  <si>
    <t xml:space="preserve">TXN-10016</t>
  </si>
  <si>
    <t xml:space="preserve">CUST-1028</t>
  </si>
  <si>
    <t xml:space="preserve">TXN-10017</t>
  </si>
  <si>
    <t xml:space="preserve">02:45</t>
  </si>
  <si>
    <t xml:space="preserve">CUST-1026</t>
  </si>
  <si>
    <t xml:space="preserve">TXN-10018</t>
  </si>
  <si>
    <t xml:space="preserve">05:16</t>
  </si>
  <si>
    <t xml:space="preserve">CUST-1027</t>
  </si>
  <si>
    <t xml:space="preserve">TXN-10019</t>
  </si>
  <si>
    <t xml:space="preserve">20:45</t>
  </si>
  <si>
    <t xml:space="preserve">TXN-10020</t>
  </si>
  <si>
    <t xml:space="preserve">18:15</t>
  </si>
  <si>
    <t xml:space="preserve">TXN-10021</t>
  </si>
  <si>
    <t xml:space="preserve">10:04</t>
  </si>
  <si>
    <t xml:space="preserve">TXN-10022</t>
  </si>
  <si>
    <t xml:space="preserve">18:45</t>
  </si>
  <si>
    <t xml:space="preserve">TXN-10023</t>
  </si>
  <si>
    <t xml:space="preserve">11:45</t>
  </si>
  <si>
    <t xml:space="preserve">CUST-1014</t>
  </si>
  <si>
    <t xml:space="preserve">TXN-10024</t>
  </si>
  <si>
    <t xml:space="preserve">03:15</t>
  </si>
  <si>
    <t xml:space="preserve">TXN-10025</t>
  </si>
  <si>
    <t xml:space="preserve">02:28</t>
  </si>
  <si>
    <t xml:space="preserve">CUST-1003</t>
  </si>
  <si>
    <t xml:space="preserve">TXN-10026</t>
  </si>
  <si>
    <t xml:space="preserve">07:45</t>
  </si>
  <si>
    <t xml:space="preserve">CUST-1015</t>
  </si>
  <si>
    <t xml:space="preserve">TXN-10027</t>
  </si>
  <si>
    <t xml:space="preserve">08:45</t>
  </si>
  <si>
    <t xml:space="preserve">CUST-1009</t>
  </si>
  <si>
    <t xml:space="preserve">TXN-10028</t>
  </si>
  <si>
    <t xml:space="preserve">18:47</t>
  </si>
  <si>
    <t xml:space="preserve">CUST-1001</t>
  </si>
  <si>
    <t xml:space="preserve">TXN-10029</t>
  </si>
  <si>
    <t xml:space="preserve">16:00</t>
  </si>
  <si>
    <t xml:space="preserve">TXN-10030</t>
  </si>
  <si>
    <t xml:space="preserve">TXN-10031</t>
  </si>
  <si>
    <t xml:space="preserve">18:36</t>
  </si>
  <si>
    <t xml:space="preserve">CUST-1010</t>
  </si>
  <si>
    <t xml:space="preserve">TXN-10032</t>
  </si>
  <si>
    <t xml:space="preserve">21:30</t>
  </si>
  <si>
    <t xml:space="preserve">TXN-10033</t>
  </si>
  <si>
    <t xml:space="preserve">03:04</t>
  </si>
  <si>
    <t xml:space="preserve">TXN-10034</t>
  </si>
  <si>
    <t xml:space="preserve">09:45</t>
  </si>
  <si>
    <t xml:space="preserve">TXN-10035</t>
  </si>
  <si>
    <t xml:space="preserve">TXN-10036</t>
  </si>
  <si>
    <t xml:space="preserve">22:15</t>
  </si>
  <si>
    <t xml:space="preserve">TXN-10037</t>
  </si>
  <si>
    <t xml:space="preserve">01:45</t>
  </si>
  <si>
    <t xml:space="preserve">TXN-10038</t>
  </si>
  <si>
    <t xml:space="preserve">05:45</t>
  </si>
  <si>
    <t xml:space="preserve">CUST-1017</t>
  </si>
  <si>
    <t xml:space="preserve">TXN-10039</t>
  </si>
  <si>
    <t xml:space="preserve">04:00</t>
  </si>
  <si>
    <t xml:space="preserve">TXN-10040</t>
  </si>
  <si>
    <t xml:space="preserve">01:30</t>
  </si>
  <si>
    <t xml:space="preserve">TXN-10041</t>
  </si>
  <si>
    <t xml:space="preserve">19:15</t>
  </si>
  <si>
    <t xml:space="preserve">TXN-10042</t>
  </si>
  <si>
    <t xml:space="preserve">10:45</t>
  </si>
  <si>
    <t xml:space="preserve">TXN-10043</t>
  </si>
  <si>
    <t xml:space="preserve">12:00</t>
  </si>
  <si>
    <t xml:space="preserve">TXN-10044</t>
  </si>
  <si>
    <t xml:space="preserve">TXN-10045</t>
  </si>
  <si>
    <t xml:space="preserve">11:41</t>
  </si>
  <si>
    <t xml:space="preserve">TXN-10046</t>
  </si>
  <si>
    <t xml:space="preserve">05:30</t>
  </si>
  <si>
    <t xml:space="preserve">TXN-10047</t>
  </si>
  <si>
    <t xml:space="preserve">03:24</t>
  </si>
  <si>
    <t xml:space="preserve">TXN-10048</t>
  </si>
  <si>
    <t xml:space="preserve">21:15</t>
  </si>
  <si>
    <t xml:space="preserve">CUST-1011</t>
  </si>
  <si>
    <t xml:space="preserve">TXN-10049</t>
  </si>
  <si>
    <t xml:space="preserve">16:45</t>
  </si>
  <si>
    <t xml:space="preserve">TXN-10050</t>
  </si>
  <si>
    <t xml:space="preserve">TXN-10051</t>
  </si>
  <si>
    <t xml:space="preserve">18:30</t>
  </si>
  <si>
    <t xml:space="preserve">TXN-10052</t>
  </si>
  <si>
    <t xml:space="preserve">16:42</t>
  </si>
  <si>
    <t xml:space="preserve">TXN-10053</t>
  </si>
  <si>
    <t xml:space="preserve">00:15</t>
  </si>
  <si>
    <t xml:space="preserve">TXN-10054</t>
  </si>
  <si>
    <t xml:space="preserve">06:45</t>
  </si>
  <si>
    <t xml:space="preserve">TXN-10055</t>
  </si>
  <si>
    <t xml:space="preserve">05:51</t>
  </si>
  <si>
    <t xml:space="preserve">TXN-10056</t>
  </si>
  <si>
    <t xml:space="preserve">21:33</t>
  </si>
  <si>
    <t xml:space="preserve">TXN-10057</t>
  </si>
  <si>
    <t xml:space="preserve">23:45</t>
  </si>
  <si>
    <t xml:space="preserve">TXN-10058</t>
  </si>
  <si>
    <t xml:space="preserve">CUST-1022</t>
  </si>
  <si>
    <t xml:space="preserve">TXN-10059</t>
  </si>
  <si>
    <t xml:space="preserve">04:15</t>
  </si>
  <si>
    <t xml:space="preserve">TXN-10060</t>
  </si>
  <si>
    <t xml:space="preserve">14:00</t>
  </si>
  <si>
    <t xml:space="preserve">TXN-10061</t>
  </si>
  <si>
    <t xml:space="preserve">TXN-10062</t>
  </si>
  <si>
    <t xml:space="preserve">15:45</t>
  </si>
  <si>
    <t xml:space="preserve">TXN-10063</t>
  </si>
  <si>
    <t xml:space="preserve">17:45</t>
  </si>
  <si>
    <t xml:space="preserve">TXN-10064</t>
  </si>
  <si>
    <t xml:space="preserve">TXN-10065</t>
  </si>
  <si>
    <t xml:space="preserve">12:45</t>
  </si>
  <si>
    <t xml:space="preserve">TXN-10066</t>
  </si>
  <si>
    <t xml:space="preserve">CUST-1024</t>
  </si>
  <si>
    <t xml:space="preserve">TXN-10067</t>
  </si>
  <si>
    <t xml:space="preserve">TXN-10068</t>
  </si>
  <si>
    <t xml:space="preserve">11:10</t>
  </si>
  <si>
    <t xml:space="preserve">TXN-10069</t>
  </si>
  <si>
    <t xml:space="preserve">TXN-10070</t>
  </si>
  <si>
    <t xml:space="preserve">07:30</t>
  </si>
  <si>
    <t xml:space="preserve">TXN-10071</t>
  </si>
  <si>
    <t xml:space="preserve">11:04</t>
  </si>
  <si>
    <t xml:space="preserve">CUST-1020</t>
  </si>
  <si>
    <t xml:space="preserve">TXN-10072</t>
  </si>
  <si>
    <t xml:space="preserve">TXN-10073</t>
  </si>
  <si>
    <t xml:space="preserve">TXN-10074</t>
  </si>
  <si>
    <t xml:space="preserve">TXN-10075</t>
  </si>
  <si>
    <t xml:space="preserve">05:15</t>
  </si>
  <si>
    <t xml:space="preserve">TXN-10076</t>
  </si>
  <si>
    <t xml:space="preserve">17:00</t>
  </si>
  <si>
    <t xml:space="preserve">TXN-10077</t>
  </si>
  <si>
    <t xml:space="preserve">TXN-10078</t>
  </si>
  <si>
    <t xml:space="preserve">09:42</t>
  </si>
  <si>
    <t xml:space="preserve">TXN-10079</t>
  </si>
  <si>
    <t xml:space="preserve">TXN-10080</t>
  </si>
  <si>
    <t xml:space="preserve">17:15</t>
  </si>
  <si>
    <t xml:space="preserve">TXN-10081</t>
  </si>
  <si>
    <t xml:space="preserve">19:00</t>
  </si>
  <si>
    <t xml:space="preserve">TXN-10082</t>
  </si>
  <si>
    <t xml:space="preserve">17:30</t>
  </si>
  <si>
    <t xml:space="preserve">TXN-10083</t>
  </si>
  <si>
    <t xml:space="preserve">03:00</t>
  </si>
  <si>
    <t xml:space="preserve">TXN-10084</t>
  </si>
  <si>
    <t xml:space="preserve">TXN-10085</t>
  </si>
  <si>
    <t xml:space="preserve">01:15</t>
  </si>
  <si>
    <t xml:space="preserve">TXN-10086</t>
  </si>
  <si>
    <t xml:space="preserve">13:38</t>
  </si>
  <si>
    <t xml:space="preserve">TXN-10087</t>
  </si>
  <si>
    <t xml:space="preserve">TXN-10088</t>
  </si>
  <si>
    <t xml:space="preserve">02:15</t>
  </si>
  <si>
    <t xml:space="preserve">CUST-1005</t>
  </si>
  <si>
    <t xml:space="preserve">TXN-10089</t>
  </si>
  <si>
    <t xml:space="preserve">15:00</t>
  </si>
  <si>
    <t xml:space="preserve">TXN-10090</t>
  </si>
  <si>
    <t xml:space="preserve">08:50</t>
  </si>
  <si>
    <t xml:space="preserve">TXN-10091</t>
  </si>
  <si>
    <t xml:space="preserve">04:30</t>
  </si>
  <si>
    <t xml:space="preserve">TXN-10092</t>
  </si>
  <si>
    <t xml:space="preserve">TXN-10093</t>
  </si>
  <si>
    <t xml:space="preserve">TXN-10094</t>
  </si>
  <si>
    <t xml:space="preserve">07:43</t>
  </si>
  <si>
    <t xml:space="preserve">TXN-10095</t>
  </si>
  <si>
    <t xml:space="preserve">TXN-10096</t>
  </si>
  <si>
    <t xml:space="preserve">10:00</t>
  </si>
  <si>
    <t xml:space="preserve">TXN-10097</t>
  </si>
  <si>
    <t xml:space="preserve">TXN-10098</t>
  </si>
  <si>
    <t xml:space="preserve">00:42</t>
  </si>
  <si>
    <t xml:space="preserve">TXN-10099</t>
  </si>
  <si>
    <t xml:space="preserve">TXN-10100</t>
  </si>
  <si>
    <t xml:space="preserve">03:01</t>
  </si>
  <si>
    <t xml:space="preserve">TXN-10101</t>
  </si>
  <si>
    <t xml:space="preserve">02:00</t>
  </si>
  <si>
    <t xml:space="preserve">TXN-10102</t>
  </si>
  <si>
    <t xml:space="preserve">13:45</t>
  </si>
  <si>
    <t xml:space="preserve">TXN-10103</t>
  </si>
  <si>
    <t xml:space="preserve">TXN-10104</t>
  </si>
  <si>
    <t xml:space="preserve">09:30</t>
  </si>
  <si>
    <t xml:space="preserve">TXN-10105</t>
  </si>
  <si>
    <t xml:space="preserve">10:35</t>
  </si>
  <si>
    <t xml:space="preserve">TXN-10106</t>
  </si>
  <si>
    <t xml:space="preserve">13:30</t>
  </si>
  <si>
    <t xml:space="preserve">CUST-1023</t>
  </si>
  <si>
    <t xml:space="preserve">TXN-10107</t>
  </si>
  <si>
    <t xml:space="preserve">01:08</t>
  </si>
  <si>
    <t xml:space="preserve">TXN-10108</t>
  </si>
  <si>
    <t xml:space="preserve">CUST-1013</t>
  </si>
  <si>
    <t xml:space="preserve">TXN-10109</t>
  </si>
  <si>
    <t xml:space="preserve">TXN-10110</t>
  </si>
  <si>
    <t xml:space="preserve">15:55</t>
  </si>
  <si>
    <t xml:space="preserve">TXN-10111</t>
  </si>
  <si>
    <t xml:space="preserve">TXN-10112</t>
  </si>
  <si>
    <t xml:space="preserve">TXN-10113</t>
  </si>
  <si>
    <t xml:space="preserve">05:00</t>
  </si>
  <si>
    <t xml:space="preserve">TXN-10114</t>
  </si>
  <si>
    <t xml:space="preserve">TXN-10115</t>
  </si>
  <si>
    <t xml:space="preserve">TXN-10116</t>
  </si>
  <si>
    <t xml:space="preserve">15:15</t>
  </si>
  <si>
    <t xml:space="preserve">TXN-10117</t>
  </si>
  <si>
    <t xml:space="preserve">TXN-10118</t>
  </si>
  <si>
    <t xml:space="preserve">19:30</t>
  </si>
  <si>
    <t xml:space="preserve">TXN-10119</t>
  </si>
  <si>
    <t xml:space="preserve">TXN-10120</t>
  </si>
  <si>
    <t xml:space="preserve">23:15</t>
  </si>
  <si>
    <t xml:space="preserve">TXN-10121</t>
  </si>
  <si>
    <t xml:space="preserve">TXN-10122</t>
  </si>
  <si>
    <t xml:space="preserve">TXN-10123</t>
  </si>
  <si>
    <t xml:space="preserve">TXN-10124</t>
  </si>
  <si>
    <t xml:space="preserve">21:45</t>
  </si>
  <si>
    <t xml:space="preserve">CUST-1000</t>
  </si>
  <si>
    <t xml:space="preserve">TXN-10125</t>
  </si>
  <si>
    <t xml:space="preserve">TXN-10126</t>
  </si>
  <si>
    <t xml:space="preserve">TXN-10127</t>
  </si>
  <si>
    <t xml:space="preserve">TXN-10128</t>
  </si>
  <si>
    <t xml:space="preserve">TXN-10129</t>
  </si>
  <si>
    <t xml:space="preserve">TXN-10130</t>
  </si>
  <si>
    <t xml:space="preserve">14:15</t>
  </si>
  <si>
    <t xml:space="preserve">TXN-10131</t>
  </si>
  <si>
    <t xml:space="preserve">18:00</t>
  </si>
  <si>
    <t xml:space="preserve">TXN-10132</t>
  </si>
  <si>
    <t xml:space="preserve">TXN-10133</t>
  </si>
  <si>
    <t xml:space="preserve">00:00</t>
  </si>
  <si>
    <t xml:space="preserve">TXN-10134</t>
  </si>
  <si>
    <t xml:space="preserve">04:45</t>
  </si>
  <si>
    <t xml:space="preserve">TXN-10135</t>
  </si>
  <si>
    <t xml:space="preserve">TXN-10136</t>
  </si>
  <si>
    <t xml:space="preserve">00:45</t>
  </si>
  <si>
    <t xml:space="preserve">TXN-10137</t>
  </si>
  <si>
    <t xml:space="preserve">10:15</t>
  </si>
  <si>
    <t xml:space="preserve">TXN-10138</t>
  </si>
  <si>
    <t xml:space="preserve">09:29</t>
  </si>
  <si>
    <t xml:space="preserve">TXN-10139</t>
  </si>
  <si>
    <t xml:space="preserve">TXN-10140</t>
  </si>
  <si>
    <t xml:space="preserve">TXN-10141</t>
  </si>
  <si>
    <t xml:space="preserve">11:15</t>
  </si>
  <si>
    <t xml:space="preserve">TXN-10142</t>
  </si>
  <si>
    <t xml:space="preserve">TXN-10143</t>
  </si>
  <si>
    <t xml:space="preserve">TXN-10144</t>
  </si>
  <si>
    <t xml:space="preserve">TXN-10145</t>
  </si>
  <si>
    <t xml:space="preserve">22:00</t>
  </si>
  <si>
    <t xml:space="preserve">TXN-10146</t>
  </si>
  <si>
    <t xml:space="preserve">TXN-10147</t>
  </si>
  <si>
    <t xml:space="preserve">TXN-10148</t>
  </si>
  <si>
    <t xml:space="preserve">TXN-10149</t>
  </si>
  <si>
    <t xml:space="preserve">19:45</t>
  </si>
  <si>
    <t xml:space="preserve">TXN-10150</t>
  </si>
  <si>
    <t xml:space="preserve">21:43</t>
  </si>
  <si>
    <t xml:space="preserve">TXN-10151</t>
  </si>
  <si>
    <t xml:space="preserve">TXN-10152</t>
  </si>
  <si>
    <t xml:space="preserve">TXN-10153</t>
  </si>
  <si>
    <t xml:space="preserve">TXN-10154</t>
  </si>
  <si>
    <t xml:space="preserve">TXN-10155</t>
  </si>
  <si>
    <t xml:space="preserve">TXN-10156</t>
  </si>
  <si>
    <t xml:space="preserve">TXN-10157</t>
  </si>
  <si>
    <t xml:space="preserve">TXN-10158</t>
  </si>
  <si>
    <t xml:space="preserve">TXN-10159</t>
  </si>
  <si>
    <t xml:space="preserve">15:29</t>
  </si>
  <si>
    <t xml:space="preserve">TXN-10160</t>
  </si>
  <si>
    <t xml:space="preserve">TXN-10161</t>
  </si>
  <si>
    <t xml:space="preserve">TXN-10162</t>
  </si>
  <si>
    <t xml:space="preserve">14:37</t>
  </si>
  <si>
    <t xml:space="preserve">TXN-10163</t>
  </si>
  <si>
    <t xml:space="preserve">TXN-10164</t>
  </si>
  <si>
    <t xml:space="preserve">TXN-10165</t>
  </si>
  <si>
    <t xml:space="preserve">TXN-10166</t>
  </si>
  <si>
    <t xml:space="preserve">10:06</t>
  </si>
  <si>
    <t xml:space="preserve">TXN-10167</t>
  </si>
  <si>
    <t xml:space="preserve">TXN-10168</t>
  </si>
  <si>
    <t xml:space="preserve">TXN-10169</t>
  </si>
  <si>
    <t xml:space="preserve">TXN-10170</t>
  </si>
  <si>
    <t xml:space="preserve">TXN-10171</t>
  </si>
  <si>
    <t xml:space="preserve">TXN-10172</t>
  </si>
  <si>
    <t xml:space="preserve">TXN-10173</t>
  </si>
  <si>
    <t xml:space="preserve">TXN-10174</t>
  </si>
  <si>
    <t xml:space="preserve">TXN-10175</t>
  </si>
  <si>
    <t xml:space="preserve">11:00</t>
  </si>
  <si>
    <t xml:space="preserve">TXN-10176</t>
  </si>
  <si>
    <t xml:space="preserve">14:57</t>
  </si>
  <si>
    <t xml:space="preserve">TXN-10177</t>
  </si>
  <si>
    <t xml:space="preserve">TXN-10178</t>
  </si>
  <si>
    <t xml:space="preserve">TXN-10179</t>
  </si>
  <si>
    <t xml:space="preserve">TXN-10180</t>
  </si>
  <si>
    <t xml:space="preserve">04:35</t>
  </si>
  <si>
    <t xml:space="preserve">TXN-10181</t>
  </si>
  <si>
    <t xml:space="preserve">13:40</t>
  </si>
  <si>
    <t xml:space="preserve">TXN-10182</t>
  </si>
  <si>
    <t xml:space="preserve">22:30</t>
  </si>
  <si>
    <t xml:space="preserve">TXN-10183</t>
  </si>
  <si>
    <t xml:space="preserve">21:05</t>
  </si>
  <si>
    <t xml:space="preserve">TXN-10184</t>
  </si>
  <si>
    <t xml:space="preserve">TXN-10185</t>
  </si>
  <si>
    <t xml:space="preserve">20:06</t>
  </si>
  <si>
    <t xml:space="preserve">TXN-10186</t>
  </si>
  <si>
    <t xml:space="preserve">TXN-10187</t>
  </si>
  <si>
    <t xml:space="preserve">TXN-10188</t>
  </si>
  <si>
    <t xml:space="preserve">TXN-10189</t>
  </si>
  <si>
    <t xml:space="preserve">TXN-10190</t>
  </si>
  <si>
    <t xml:space="preserve">TXN-10191</t>
  </si>
  <si>
    <t xml:space="preserve">13:15</t>
  </si>
  <si>
    <t xml:space="preserve">TXN-10192</t>
  </si>
  <si>
    <t xml:space="preserve">14:45</t>
  </si>
  <si>
    <t xml:space="preserve">TXN-10193</t>
  </si>
  <si>
    <t xml:space="preserve">TXN-10194</t>
  </si>
  <si>
    <t xml:space="preserve">TXN-10195</t>
  </si>
  <si>
    <t xml:space="preserve">TXN-10196</t>
  </si>
  <si>
    <t xml:space="preserve">TXN-10197</t>
  </si>
  <si>
    <t xml:space="preserve">TXN-10198</t>
  </si>
  <si>
    <t xml:space="preserve">TXN-10199</t>
  </si>
  <si>
    <t xml:space="preserve">AML COMPLIANCE DASHBOARD</t>
  </si>
  <si>
    <t xml:space="preserve">Total Transactions</t>
  </si>
  <si>
    <t xml:space="preserve">Total Volume</t>
  </si>
  <si>
    <t xml:space="preserve">Flagged Count</t>
  </si>
  <si>
    <t xml:space="preserve">Flagged Volume</t>
  </si>
  <si>
    <t xml:space="preserve">VOLUME BY COUNTRY TIER</t>
  </si>
  <si>
    <t xml:space="preserve">TOP 10 RISK-SCORED TRANSACTIONS</t>
  </si>
  <si>
    <t xml:space="preserve">Txn Count</t>
  </si>
  <si>
    <t xml:space="preserve">Total $ Volume</t>
  </si>
  <si>
    <t xml:space="preserve">Rank</t>
  </si>
  <si>
    <t xml:space="preserve">VBA MACROS — SAR Queue Builder &amp; Export</t>
  </si>
  <si>
    <t xml:space="preserve">Import AMLMacros.bas via Alt+F11 → File → Import File.</t>
  </si>
  <si>
    <t xml:space="preserve">Option Explicit
' ============================================================
' AMLMacros.bas  —  Kartik Joshi
' AML/KYC monitoring — SAR queue builder + threshold tuner
' ============================================================
Public Sub BuildSARQueue()
    Dim txns As Worksheet, sar As Worksheet, i As Long, outRow As Long
    Set txns = ThisWorkbook.Worksheets("Transactions")
    On Error Resume Next
    Application.DisplayAlerts = False
    ThisWorkbook.Worksheets("SAR_Queue").Delete
    Application.DisplayAlerts = True
    On Error GoTo 0
    Set sar = ThisWorkbook.Worksheets.Add(After:= _
        ThisWorkbook.Worksheets(ThisWorkbook.Worksheets.Count))
    sar.Name = "SAR_Queue"
    sar.Range("B2").Value = "SUSPICIOUS ACTIVITY REPORT — QUEUE"
    sar.Range("B2").Font.Bold = True
    sar.Range("B2").Font.Size = 14
    Dim headers As Variant
    headers = Array("Txn ID", "Date", "Time", "Customer", "Amount", "Type", _
                    "Country", "PEP", "Risk Score", "Priority")
    Dim j As Integer
    For j = LBound(headers) To UBound(headers)
        sar.Cells(4, 2 + j).Value = headers(j)
        sar.Cells(4, 2 + j).Font.Bold = True
        sar.Cells(4, 2 + j).Interior.Color = RGB(27, 42, 73)
        sar.Cells(4, 2 + j).Font.Color = RGB(255, 255, 255)
    Next j
    outRow = 5
    For i = 5 To 204
        If CStr(txns.Cells(i, 13).Value) = "REVIEW" Then
            sar.Cells(outRow, 2).Value = txns.Cells(i, 2).Value
            sar.Cells(outRow, 3).Value = txns.Cells(i, 3).Value
            sar.Cells(outRow, 3).NumberFormat = "yyyy-mm-dd"
            sar.Cells(outRow, 4).Value = txns.Cells(i, 4).Value
            sar.Cells(outRow, 5).Value = txns.Cells(i, 5).Value
            sar.Cells(outRow, 6).Value = txns.Cells(i, 6).Value
            sar.Cells(outRow, 6).NumberFormat = "$#,##0"
            sar.Cells(outRow, 7).Value = txns.Cells(i, 7).Value
            sar.Cells(outRow, 8).Value = txns.Cells(i, 8).Value
            sar.Cells(outRow, 9).Value = txns.Cells(i, 9).Value
            sar.Cells(outRow, 10).Value = txns.Cells(i, 12).Value
            Dim score As Double: score = txns.Cells(i, 12).Value
            If score &gt;= 90 Then
                sar.Cells(outRow, 11).Value = "P1 — Escalate"
                sar.Cells(outRow, 11).Interior.Color = RGB(231, 76, 60)
                sar.Cells(outRow, 11).Font.Color = RGB(255, 255, 255)
            ElseIf score &gt;= 75 Then
                sar.Cells(outRow, 11).Value = "P2 — Investigate"
                sar.Cells(outRow, 11).Interior.Color = RGB(230, 126, 34)
            Else
                sar.Cells(outRow, 11).Value = "P3 — Review"
                sar.Cells(outRow, 11).Interior.Color = RGB(241, 196, 15)
            End If
            outRow = outRow + 1
        End If
    Next i
    sar.Columns("B:K").AutoFit
    MsgBox (outRow - 5) &amp; " transactions flagged and added to SAR Queue.", vbInformation
End Sub
Public Sub TuneThreshold()
    Dim newVal As Variant
    newVal = InputBox("Enter new SAR threshold score (0-100):", "Tune SAR Threshold", 60)
    If IsNumeric(newVal) And newVal &gt;= 0 And newVal &lt;= 100 Then
        ThisWorkbook.Worksheets("Reference").Range("SARThreshold").Value = CDbl(newVal)
        Application.Calculate
        MsgBox "Threshold updated to " &amp; newVal &amp; ".", vbInformation
    Else
        MsgBox "Invalid value. Threshold unchanged.", vbExclamation
    End If
End Sub
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</si>
</sst>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49"/>
      <name val="Calibri"/>
      <family val="0"/>
      <charset val="1"/>
    </font>
    <font>
      <i val="true"/>
      <sz val="11"/>
      <color rgb="FF2E86C1"/>
      <name val="Calibri"/>
      <family val="0"/>
      <charset val="1"/>
    </font>
    <font>
      <sz val="11"/>
      <color rgb="FF2C3E50"/>
      <name val="Calibri"/>
      <family val="0"/>
      <charset val="1"/>
    </font>
    <font>
      <b val="true"/>
      <sz val="14"/>
      <color rgb="FF1B2A4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2A4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3"/>
      <color rgb="FF1B2A49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0"/>
      <color rgb="FF7F8C8D"/>
      <name val="Calibri"/>
      <family val="0"/>
      <charset val="1"/>
    </font>
    <font>
      <b val="true"/>
      <sz val="16"/>
      <color rgb="FF1B2A4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8"/>
      <color rgb="FF1B2A49"/>
      <name val="Calibri"/>
      <family val="0"/>
      <charset val="1"/>
    </font>
    <font>
      <sz val="10"/>
      <color rgb="FF1B2A49"/>
      <name val="Consolas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9"/>
        <bgColor rgb="FF2C3E50"/>
      </patternFill>
    </fill>
    <fill>
      <patternFill patternType="solid">
        <fgColor rgb="FFEAF2F8"/>
        <bgColor rgb="FFF4F6F7"/>
      </patternFill>
    </fill>
    <fill>
      <patternFill patternType="solid">
        <fgColor rgb="FFD5F5E3"/>
        <bgColor rgb="FFEAF2F8"/>
      </patternFill>
    </fill>
    <fill>
      <patternFill patternType="solid">
        <fgColor rgb="FFFFFFFF"/>
        <bgColor rgb="FFF4F6F7"/>
      </patternFill>
    </fill>
    <fill>
      <patternFill patternType="solid">
        <fgColor rgb="FFFCF3CF"/>
        <bgColor rgb="FFF4F6F7"/>
      </patternFill>
    </fill>
    <fill>
      <patternFill patternType="solid">
        <fgColor rgb="FFF9E79F"/>
        <bgColor rgb="FFFCF3CF"/>
      </patternFill>
    </fill>
    <fill>
      <patternFill patternType="solid">
        <fgColor rgb="FFFADBD8"/>
        <bgColor rgb="FFFCF3CF"/>
      </patternFill>
    </fill>
    <fill>
      <patternFill patternType="solid">
        <fgColor rgb="FFF4F6F7"/>
        <bgColor rgb="FFEAF2F8"/>
      </patternFill>
    </fill>
    <fill>
      <patternFill patternType="solid">
        <fgColor rgb="FF2E86C1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CF3CF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9E79F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D68910"/>
      <rgbColor rgb="FFFF6600"/>
      <rgbColor rgb="FF666699"/>
      <rgbColor rgb="FF969696"/>
      <rgbColor rgb="FF1B2A49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16"/>
  </cols>
  <sheetData>
    <row r="2" customFormat="false" ht="26.8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</sheetData>
  <mergeCells count="1">
    <mergeCell ref="B5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8"/>
  </cols>
  <sheetData>
    <row r="2" customFormat="false" ht="17.35" hidden="false" customHeight="false" outlineLevel="0" collapsed="false">
      <c r="B2" s="5" t="s">
        <v>3</v>
      </c>
      <c r="C2" s="5"/>
      <c r="D2" s="5"/>
      <c r="F2" s="5" t="s">
        <v>4</v>
      </c>
      <c r="G2" s="5"/>
    </row>
    <row r="3" customFormat="false" ht="15" hidden="false" customHeight="false" outlineLevel="0" collapsed="false">
      <c r="B3" s="6" t="s">
        <v>5</v>
      </c>
      <c r="C3" s="6" t="s">
        <v>6</v>
      </c>
      <c r="D3" s="6" t="s">
        <v>7</v>
      </c>
      <c r="F3" s="6" t="s">
        <v>8</v>
      </c>
      <c r="G3" s="6" t="s">
        <v>9</v>
      </c>
    </row>
    <row r="4" customFormat="false" ht="15" hidden="false" customHeight="false" outlineLevel="0" collapsed="false">
      <c r="B4" s="7" t="s">
        <v>10</v>
      </c>
      <c r="C4" s="8" t="s">
        <v>11</v>
      </c>
      <c r="D4" s="9" t="n">
        <v>5</v>
      </c>
      <c r="F4" s="7" t="s">
        <v>12</v>
      </c>
      <c r="G4" s="9" t="n">
        <v>10</v>
      </c>
    </row>
    <row r="5" customFormat="false" ht="15" hidden="false" customHeight="false" outlineLevel="0" collapsed="false">
      <c r="B5" s="7" t="s">
        <v>13</v>
      </c>
      <c r="C5" s="8" t="s">
        <v>11</v>
      </c>
      <c r="D5" s="9" t="n">
        <v>5</v>
      </c>
      <c r="F5" s="7" t="s">
        <v>14</v>
      </c>
      <c r="G5" s="9" t="n">
        <v>15</v>
      </c>
    </row>
    <row r="6" customFormat="false" ht="15" hidden="false" customHeight="false" outlineLevel="0" collapsed="false">
      <c r="B6" s="7" t="s">
        <v>15</v>
      </c>
      <c r="C6" s="8" t="s">
        <v>11</v>
      </c>
      <c r="D6" s="9" t="n">
        <v>5</v>
      </c>
      <c r="F6" s="7" t="s">
        <v>16</v>
      </c>
      <c r="G6" s="9" t="n">
        <v>15</v>
      </c>
    </row>
    <row r="7" customFormat="false" ht="15" hidden="false" customHeight="false" outlineLevel="0" collapsed="false">
      <c r="B7" s="7" t="s">
        <v>17</v>
      </c>
      <c r="C7" s="8" t="s">
        <v>11</v>
      </c>
      <c r="D7" s="9" t="n">
        <v>5</v>
      </c>
      <c r="F7" s="7" t="s">
        <v>18</v>
      </c>
      <c r="G7" s="9" t="n">
        <v>5</v>
      </c>
    </row>
    <row r="8" customFormat="false" ht="15" hidden="false" customHeight="false" outlineLevel="0" collapsed="false">
      <c r="B8" s="7" t="s">
        <v>19</v>
      </c>
      <c r="C8" s="8" t="s">
        <v>11</v>
      </c>
      <c r="D8" s="9" t="n">
        <v>5</v>
      </c>
      <c r="F8" s="7" t="s">
        <v>20</v>
      </c>
      <c r="G8" s="9" t="n">
        <v>5</v>
      </c>
    </row>
    <row r="9" customFormat="false" ht="15" hidden="false" customHeight="false" outlineLevel="0" collapsed="false">
      <c r="B9" s="7" t="s">
        <v>21</v>
      </c>
      <c r="C9" s="8" t="s">
        <v>11</v>
      </c>
      <c r="D9" s="9" t="n">
        <v>5</v>
      </c>
      <c r="F9" s="7" t="s">
        <v>22</v>
      </c>
      <c r="G9" s="9" t="n">
        <v>20</v>
      </c>
    </row>
    <row r="10" customFormat="false" ht="15" hidden="false" customHeight="false" outlineLevel="0" collapsed="false">
      <c r="B10" s="7" t="s">
        <v>23</v>
      </c>
      <c r="C10" s="8" t="s">
        <v>11</v>
      </c>
      <c r="D10" s="9" t="n">
        <v>5</v>
      </c>
      <c r="F10" s="7" t="s">
        <v>24</v>
      </c>
      <c r="G10" s="9" t="n">
        <v>25</v>
      </c>
    </row>
    <row r="11" customFormat="false" ht="15" hidden="false" customHeight="false" outlineLevel="0" collapsed="false">
      <c r="B11" s="7" t="s">
        <v>25</v>
      </c>
      <c r="C11" s="8" t="s">
        <v>11</v>
      </c>
      <c r="D11" s="9" t="n">
        <v>5</v>
      </c>
      <c r="F11" s="7" t="s">
        <v>26</v>
      </c>
      <c r="G11" s="9" t="n">
        <v>20</v>
      </c>
    </row>
    <row r="12" customFormat="false" ht="15" hidden="false" customHeight="false" outlineLevel="0" collapsed="false">
      <c r="B12" s="7" t="s">
        <v>27</v>
      </c>
      <c r="C12" s="10" t="s">
        <v>28</v>
      </c>
      <c r="D12" s="9" t="n">
        <v>15</v>
      </c>
    </row>
    <row r="13" customFormat="false" ht="15" hidden="false" customHeight="false" outlineLevel="0" collapsed="false">
      <c r="B13" s="7" t="s">
        <v>29</v>
      </c>
      <c r="C13" s="10" t="s">
        <v>28</v>
      </c>
      <c r="D13" s="9" t="n">
        <v>15</v>
      </c>
    </row>
    <row r="14" customFormat="false" ht="15" hidden="false" customHeight="false" outlineLevel="0" collapsed="false">
      <c r="B14" s="7" t="s">
        <v>30</v>
      </c>
      <c r="C14" s="10" t="s">
        <v>28</v>
      </c>
      <c r="D14" s="9" t="n">
        <v>15</v>
      </c>
    </row>
    <row r="15" customFormat="false" ht="15" hidden="false" customHeight="false" outlineLevel="0" collapsed="false">
      <c r="B15" s="7" t="s">
        <v>31</v>
      </c>
      <c r="C15" s="10" t="s">
        <v>28</v>
      </c>
      <c r="D15" s="9" t="n">
        <v>15</v>
      </c>
    </row>
    <row r="16" customFormat="false" ht="15" hidden="false" customHeight="false" outlineLevel="0" collapsed="false">
      <c r="B16" s="7" t="s">
        <v>32</v>
      </c>
      <c r="C16" s="10" t="s">
        <v>28</v>
      </c>
      <c r="D16" s="9" t="n">
        <v>15</v>
      </c>
    </row>
    <row r="17" customFormat="false" ht="15" hidden="false" customHeight="false" outlineLevel="0" collapsed="false">
      <c r="B17" s="7" t="s">
        <v>33</v>
      </c>
      <c r="C17" s="10" t="s">
        <v>28</v>
      </c>
      <c r="D17" s="9" t="n">
        <v>15</v>
      </c>
    </row>
    <row r="18" customFormat="false" ht="15" hidden="false" customHeight="false" outlineLevel="0" collapsed="false">
      <c r="B18" s="7" t="s">
        <v>34</v>
      </c>
      <c r="C18" s="11" t="s">
        <v>35</v>
      </c>
      <c r="D18" s="9" t="n">
        <v>30</v>
      </c>
    </row>
    <row r="19" customFormat="false" ht="15" hidden="false" customHeight="false" outlineLevel="0" collapsed="false">
      <c r="B19" s="7" t="s">
        <v>36</v>
      </c>
      <c r="C19" s="11" t="s">
        <v>35</v>
      </c>
      <c r="D19" s="9" t="n">
        <v>30</v>
      </c>
    </row>
    <row r="20" customFormat="false" ht="15" hidden="false" customHeight="false" outlineLevel="0" collapsed="false">
      <c r="B20" s="7" t="s">
        <v>37</v>
      </c>
      <c r="C20" s="11" t="s">
        <v>35</v>
      </c>
      <c r="D20" s="9" t="n">
        <v>30</v>
      </c>
    </row>
    <row r="21" customFormat="false" ht="15" hidden="false" customHeight="false" outlineLevel="0" collapsed="false">
      <c r="B21" s="7" t="s">
        <v>38</v>
      </c>
      <c r="C21" s="11" t="s">
        <v>35</v>
      </c>
      <c r="D21" s="9" t="n">
        <v>30</v>
      </c>
    </row>
    <row r="22" customFormat="false" ht="15" hidden="false" customHeight="false" outlineLevel="0" collapsed="false">
      <c r="B22" s="7" t="s">
        <v>39</v>
      </c>
      <c r="C22" s="12" t="s">
        <v>40</v>
      </c>
      <c r="D22" s="9" t="n">
        <v>50</v>
      </c>
    </row>
    <row r="23" customFormat="false" ht="15" hidden="false" customHeight="false" outlineLevel="0" collapsed="false">
      <c r="B23" s="7" t="s">
        <v>41</v>
      </c>
      <c r="C23" s="12" t="s">
        <v>40</v>
      </c>
      <c r="D23" s="9" t="n">
        <v>50</v>
      </c>
    </row>
    <row r="24" customFormat="false" ht="15" hidden="false" customHeight="false" outlineLevel="0" collapsed="false">
      <c r="B24" s="7" t="s">
        <v>42</v>
      </c>
      <c r="C24" s="12" t="s">
        <v>40</v>
      </c>
      <c r="D24" s="9" t="n">
        <v>50</v>
      </c>
    </row>
    <row r="28" customFormat="false" ht="16.15" hidden="false" customHeight="false" outlineLevel="0" collapsed="false">
      <c r="B28" s="13" t="s">
        <v>43</v>
      </c>
      <c r="C28" s="13"/>
      <c r="D28" s="13"/>
    </row>
    <row r="29" customFormat="false" ht="15" hidden="false" customHeight="false" outlineLevel="0" collapsed="false">
      <c r="B29" s="7" t="s">
        <v>44</v>
      </c>
      <c r="C29" s="14" t="n">
        <v>25</v>
      </c>
      <c r="D29" s="15" t="s">
        <v>45</v>
      </c>
    </row>
    <row r="30" customFormat="false" ht="15" hidden="false" customHeight="false" outlineLevel="0" collapsed="false">
      <c r="B30" s="7" t="s">
        <v>46</v>
      </c>
      <c r="C30" s="14" t="n">
        <v>30</v>
      </c>
      <c r="D30" s="15" t="s">
        <v>45</v>
      </c>
    </row>
    <row r="31" customFormat="false" ht="15" hidden="false" customHeight="false" outlineLevel="0" collapsed="false">
      <c r="B31" s="7" t="s">
        <v>47</v>
      </c>
      <c r="C31" s="14" t="n">
        <v>10</v>
      </c>
      <c r="D31" s="15" t="s">
        <v>45</v>
      </c>
    </row>
    <row r="32" customFormat="false" ht="15" hidden="false" customHeight="false" outlineLevel="0" collapsed="false">
      <c r="B32" s="7" t="s">
        <v>48</v>
      </c>
      <c r="C32" s="14" t="n">
        <v>10</v>
      </c>
      <c r="D32" s="15" t="s">
        <v>45</v>
      </c>
    </row>
    <row r="33" customFormat="false" ht="15" hidden="false" customHeight="false" outlineLevel="0" collapsed="false">
      <c r="B33" s="7" t="s">
        <v>49</v>
      </c>
      <c r="C33" s="14" t="n">
        <v>8</v>
      </c>
      <c r="D33" s="15" t="s">
        <v>45</v>
      </c>
    </row>
    <row r="34" customFormat="false" ht="15" hidden="false" customHeight="false" outlineLevel="0" collapsed="false">
      <c r="B34" s="7" t="s">
        <v>50</v>
      </c>
      <c r="C34" s="14" t="n">
        <v>25</v>
      </c>
      <c r="D34" s="15" t="s">
        <v>45</v>
      </c>
    </row>
    <row r="35" customFormat="false" ht="15" hidden="false" customHeight="false" outlineLevel="0" collapsed="false">
      <c r="B35" s="7" t="s">
        <v>51</v>
      </c>
      <c r="C35" s="14" t="n">
        <v>15</v>
      </c>
      <c r="D35" s="15" t="s">
        <v>45</v>
      </c>
    </row>
    <row r="38" customFormat="false" ht="15" hidden="false" customHeight="false" outlineLevel="0" collapsed="false">
      <c r="B38" s="7" t="s">
        <v>52</v>
      </c>
      <c r="C38" s="14" t="n">
        <v>60</v>
      </c>
    </row>
  </sheetData>
  <mergeCells count="3">
    <mergeCell ref="B2:D2"/>
    <mergeCell ref="F2:G2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9" min="8" style="1" width="1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12"/>
  </cols>
  <sheetData>
    <row r="2" customFormat="false" ht="19.7" hidden="false" customHeight="false" outlineLevel="0" collapsed="false">
      <c r="B2" s="16" t="s">
        <v>53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customFormat="false" ht="15" hidden="false" customHeight="false" outlineLevel="0" collapsed="false"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8</v>
      </c>
      <c r="H4" s="6" t="s">
        <v>5</v>
      </c>
      <c r="I4" s="6" t="s">
        <v>59</v>
      </c>
      <c r="J4" s="6" t="s">
        <v>60</v>
      </c>
      <c r="K4" s="6" t="s">
        <v>61</v>
      </c>
      <c r="L4" s="6" t="s">
        <v>62</v>
      </c>
      <c r="M4" s="6" t="s">
        <v>63</v>
      </c>
    </row>
    <row r="5" customFormat="false" ht="15" hidden="false" customHeight="false" outlineLevel="0" collapsed="false">
      <c r="B5" s="17" t="s">
        <v>64</v>
      </c>
      <c r="C5" s="18" t="n">
        <v>46133</v>
      </c>
      <c r="D5" s="19" t="s">
        <v>65</v>
      </c>
      <c r="E5" s="17" t="s">
        <v>66</v>
      </c>
      <c r="F5" s="20" t="n">
        <v>9754</v>
      </c>
      <c r="G5" s="17" t="s">
        <v>14</v>
      </c>
      <c r="H5" s="17" t="s">
        <v>38</v>
      </c>
      <c r="I5" s="17" t="s">
        <v>67</v>
      </c>
      <c r="J5" s="21" t="n">
        <f aca="false">VLOOKUP(H5, Reference!$B$4:$D$24, 3, FALSE())</f>
        <v>30</v>
      </c>
      <c r="K5" s="21" t="n">
        <f aca="false">VLOOKUP(G5, Reference!$F$4:$G$11, 2, FALSE())</f>
        <v>15</v>
      </c>
      <c r="L5" s="22" t="n">
        <f aca="false">J5+K5+IF(F5&gt;10000, WRuleAmt10k, 0)+IF(AND(F5&gt;=9000, F5&lt;=9999), WRuleStructure, 0)+IF(MOD(F5,1000)=0, WRuleRound, 0)+IF(OR(VALUE(LEFT(D5,2))&lt;7, VALUE(LEFT(D5,2))&gt;21), WRuleAfterHours, 0)+IF(WEEKDAY(C5,2)&gt;5, WRuleWeekend, 0)+IF(I5="Yes", WRulePEP, 0)+IF(COUNTIFS($C$5:$C$204,C5,$E$5:$E$204,E5)&gt;10, WRuleVelocity, 0)</f>
        <v>85</v>
      </c>
      <c r="M5" s="23" t="str">
        <f aca="false">IF(L5&gt;=SARThreshold,"REVIEW","OK")</f>
        <v>REVIEW</v>
      </c>
    </row>
    <row r="6" customFormat="false" ht="15" hidden="false" customHeight="false" outlineLevel="0" collapsed="false">
      <c r="B6" s="24" t="s">
        <v>68</v>
      </c>
      <c r="C6" s="25" t="n">
        <v>46126</v>
      </c>
      <c r="D6" s="26" t="s">
        <v>69</v>
      </c>
      <c r="E6" s="24" t="s">
        <v>70</v>
      </c>
      <c r="F6" s="27" t="n">
        <v>9616</v>
      </c>
      <c r="G6" s="24" t="s">
        <v>12</v>
      </c>
      <c r="H6" s="24" t="s">
        <v>38</v>
      </c>
      <c r="I6" s="24" t="s">
        <v>67</v>
      </c>
      <c r="J6" s="21" t="n">
        <f aca="false">VLOOKUP(H6, Reference!$B$4:$D$24, 3, FALSE())</f>
        <v>30</v>
      </c>
      <c r="K6" s="21" t="n">
        <f aca="false">VLOOKUP(G6, Reference!$F$4:$G$11, 2, FALSE())</f>
        <v>10</v>
      </c>
      <c r="L6" s="22" t="n">
        <f aca="false">J6+K6+IF(F6&gt;10000, WRuleAmt10k, 0)+IF(AND(F6&gt;=9000, F6&lt;=9999), WRuleStructure, 0)+IF(MOD(F6,1000)=0, WRuleRound, 0)+IF(OR(VALUE(LEFT(D6,2))&lt;7, VALUE(LEFT(D6,2))&gt;21), WRuleAfterHours, 0)+IF(WEEKDAY(C6,2)&gt;5, WRuleWeekend, 0)+IF(I6="Yes", WRulePEP, 0)+IF(COUNTIFS($C$5:$C$204,C6,$E$5:$E$204,E6)&gt;10, WRuleVelocity, 0)</f>
        <v>80</v>
      </c>
      <c r="M6" s="23" t="str">
        <f aca="false">IF(L6&gt;=SARThreshold,"REVIEW","OK")</f>
        <v>REVIEW</v>
      </c>
    </row>
    <row r="7" customFormat="false" ht="15" hidden="false" customHeight="false" outlineLevel="0" collapsed="false">
      <c r="B7" s="17" t="s">
        <v>71</v>
      </c>
      <c r="C7" s="18" t="n">
        <v>46133</v>
      </c>
      <c r="D7" s="19" t="s">
        <v>72</v>
      </c>
      <c r="E7" s="17" t="s">
        <v>66</v>
      </c>
      <c r="F7" s="20" t="n">
        <v>5000</v>
      </c>
      <c r="G7" s="17" t="s">
        <v>12</v>
      </c>
      <c r="H7" s="17" t="s">
        <v>21</v>
      </c>
      <c r="I7" s="17" t="s">
        <v>67</v>
      </c>
      <c r="J7" s="21" t="n">
        <f aca="false">VLOOKUP(H7, Reference!$B$4:$D$24, 3, FALSE())</f>
        <v>5</v>
      </c>
      <c r="K7" s="21" t="n">
        <f aca="false">VLOOKUP(G7, Reference!$F$4:$G$11, 2, FALSE())</f>
        <v>10</v>
      </c>
      <c r="L7" s="22" t="n">
        <f aca="false">J7+K7+IF(F7&gt;10000, WRuleAmt10k, 0)+IF(AND(F7&gt;=9000, F7&lt;=9999), WRuleStructure, 0)+IF(MOD(F7,1000)=0, WRuleRound, 0)+IF(OR(VALUE(LEFT(D7,2))&lt;7, VALUE(LEFT(D7,2))&gt;21), WRuleAfterHours, 0)+IF(WEEKDAY(C7,2)&gt;5, WRuleWeekend, 0)+IF(I7="Yes", WRulePEP, 0)+IF(COUNTIFS($C$5:$C$204,C7,$E$5:$E$204,E7)&gt;10, WRuleVelocity, 0)</f>
        <v>35</v>
      </c>
      <c r="M7" s="23" t="str">
        <f aca="false">IF(L7&gt;=SARThreshold,"REVIEW","OK")</f>
        <v>OK</v>
      </c>
    </row>
    <row r="8" customFormat="false" ht="15" hidden="false" customHeight="false" outlineLevel="0" collapsed="false">
      <c r="B8" s="24" t="s">
        <v>73</v>
      </c>
      <c r="C8" s="25" t="n">
        <v>46123</v>
      </c>
      <c r="D8" s="26" t="s">
        <v>74</v>
      </c>
      <c r="E8" s="24" t="s">
        <v>75</v>
      </c>
      <c r="F8" s="27" t="n">
        <v>1774</v>
      </c>
      <c r="G8" s="24" t="s">
        <v>14</v>
      </c>
      <c r="H8" s="24" t="s">
        <v>32</v>
      </c>
      <c r="I8" s="24" t="s">
        <v>67</v>
      </c>
      <c r="J8" s="21" t="n">
        <f aca="false">VLOOKUP(H8, Reference!$B$4:$D$24, 3, FALSE())</f>
        <v>15</v>
      </c>
      <c r="K8" s="21" t="n">
        <f aca="false">VLOOKUP(G8, Reference!$F$4:$G$11, 2, FALSE())</f>
        <v>15</v>
      </c>
      <c r="L8" s="22" t="n">
        <f aca="false">J8+K8+IF(F8&gt;10000, WRuleAmt10k, 0)+IF(AND(F8&gt;=9000, F8&lt;=9999), WRuleStructure, 0)+IF(MOD(F8,1000)=0, WRuleRound, 0)+IF(OR(VALUE(LEFT(D8,2))&lt;7, VALUE(LEFT(D8,2))&gt;21), WRuleAfterHours, 0)+IF(WEEKDAY(C8,2)&gt;5, WRuleWeekend, 0)+IF(I8="Yes", WRulePEP, 0)+IF(COUNTIFS($C$5:$C$204,C8,$E$5:$E$204,E8)&gt;10, WRuleVelocity, 0)</f>
        <v>38</v>
      </c>
      <c r="M8" s="23" t="str">
        <f aca="false">IF(L8&gt;=SARThreshold,"REVIEW","OK")</f>
        <v>OK</v>
      </c>
    </row>
    <row r="9" customFormat="false" ht="15" hidden="false" customHeight="false" outlineLevel="0" collapsed="false">
      <c r="B9" s="17" t="s">
        <v>76</v>
      </c>
      <c r="C9" s="18" t="n">
        <v>46140</v>
      </c>
      <c r="D9" s="19" t="s">
        <v>77</v>
      </c>
      <c r="E9" s="17" t="s">
        <v>78</v>
      </c>
      <c r="F9" s="20" t="n">
        <v>50000</v>
      </c>
      <c r="G9" s="17" t="s">
        <v>14</v>
      </c>
      <c r="H9" s="17" t="s">
        <v>32</v>
      </c>
      <c r="I9" s="17" t="s">
        <v>79</v>
      </c>
      <c r="J9" s="21" t="n">
        <f aca="false">VLOOKUP(H9, Reference!$B$4:$D$24, 3, FALSE())</f>
        <v>15</v>
      </c>
      <c r="K9" s="21" t="n">
        <f aca="false">VLOOKUP(G9, Reference!$F$4:$G$11, 2, FALSE())</f>
        <v>15</v>
      </c>
      <c r="L9" s="22" t="n">
        <f aca="false">J9+K9+IF(F9&gt;10000, WRuleAmt10k, 0)+IF(AND(F9&gt;=9000, F9&lt;=9999), WRuleStructure, 0)+IF(MOD(F9,1000)=0, WRuleRound, 0)+IF(OR(VALUE(LEFT(D9,2))&lt;7, VALUE(LEFT(D9,2))&gt;21), WRuleAfterHours, 0)+IF(WEEKDAY(C9,2)&gt;5, WRuleWeekend, 0)+IF(I9="Yes", WRulePEP, 0)+IF(COUNTIFS($C$5:$C$204,C9,$E$5:$E$204,E9)&gt;10, WRuleVelocity, 0)</f>
        <v>90</v>
      </c>
      <c r="M9" s="23" t="str">
        <f aca="false">IF(L9&gt;=SARThreshold,"REVIEW","OK")</f>
        <v>REVIEW</v>
      </c>
    </row>
    <row r="10" customFormat="false" ht="15" hidden="false" customHeight="false" outlineLevel="0" collapsed="false">
      <c r="B10" s="24" t="s">
        <v>80</v>
      </c>
      <c r="C10" s="25" t="n">
        <v>46122</v>
      </c>
      <c r="D10" s="26" t="s">
        <v>81</v>
      </c>
      <c r="E10" s="24" t="s">
        <v>82</v>
      </c>
      <c r="F10" s="27" t="n">
        <v>9071</v>
      </c>
      <c r="G10" s="24" t="s">
        <v>12</v>
      </c>
      <c r="H10" s="24" t="s">
        <v>25</v>
      </c>
      <c r="I10" s="24" t="s">
        <v>67</v>
      </c>
      <c r="J10" s="21" t="n">
        <f aca="false">VLOOKUP(H10, Reference!$B$4:$D$24, 3, FALSE())</f>
        <v>5</v>
      </c>
      <c r="K10" s="21" t="n">
        <f aca="false">VLOOKUP(G10, Reference!$F$4:$G$11, 2, FALSE())</f>
        <v>10</v>
      </c>
      <c r="L10" s="22" t="n">
        <f aca="false">J10+K10+IF(F10&gt;10000, WRuleAmt10k, 0)+IF(AND(F10&gt;=9000, F10&lt;=9999), WRuleStructure, 0)+IF(MOD(F10,1000)=0, WRuleRound, 0)+IF(OR(VALUE(LEFT(D10,2))&lt;7, VALUE(LEFT(D10,2))&gt;21), WRuleAfterHours, 0)+IF(WEEKDAY(C10,2)&gt;5, WRuleWeekend, 0)+IF(I10="Yes", WRulePEP, 0)+IF(COUNTIFS($C$5:$C$204,C10,$E$5:$E$204,E10)&gt;10, WRuleVelocity, 0)</f>
        <v>45</v>
      </c>
      <c r="M10" s="23" t="str">
        <f aca="false">IF(L10&gt;=SARThreshold,"REVIEW","OK")</f>
        <v>OK</v>
      </c>
    </row>
    <row r="11" customFormat="false" ht="15" hidden="false" customHeight="false" outlineLevel="0" collapsed="false">
      <c r="B11" s="17" t="s">
        <v>83</v>
      </c>
      <c r="C11" s="18" t="n">
        <v>46115</v>
      </c>
      <c r="D11" s="19" t="s">
        <v>84</v>
      </c>
      <c r="E11" s="17" t="s">
        <v>85</v>
      </c>
      <c r="F11" s="20" t="n">
        <v>5000</v>
      </c>
      <c r="G11" s="17" t="s">
        <v>16</v>
      </c>
      <c r="H11" s="17" t="s">
        <v>31</v>
      </c>
      <c r="I11" s="17" t="s">
        <v>67</v>
      </c>
      <c r="J11" s="21" t="n">
        <f aca="false">VLOOKUP(H11, Reference!$B$4:$D$24, 3, FALSE())</f>
        <v>15</v>
      </c>
      <c r="K11" s="21" t="n">
        <f aca="false">VLOOKUP(G11, Reference!$F$4:$G$11, 2, FALSE())</f>
        <v>15</v>
      </c>
      <c r="L11" s="22" t="n">
        <f aca="false">J11+K11+IF(F11&gt;10000, WRuleAmt10k, 0)+IF(AND(F11&gt;=9000, F11&lt;=9999), WRuleStructure, 0)+IF(MOD(F11,1000)=0, WRuleRound, 0)+IF(OR(VALUE(LEFT(D11,2))&lt;7, VALUE(LEFT(D11,2))&gt;21), WRuleAfterHours, 0)+IF(WEEKDAY(C11,2)&gt;5, WRuleWeekend, 0)+IF(I11="Yes", WRulePEP, 0)+IF(COUNTIFS($C$5:$C$204,C11,$E$5:$E$204,E11)&gt;10, WRuleVelocity, 0)</f>
        <v>40</v>
      </c>
      <c r="M11" s="23" t="str">
        <f aca="false">IF(L11&gt;=SARThreshold,"REVIEW","OK")</f>
        <v>OK</v>
      </c>
    </row>
    <row r="12" customFormat="false" ht="15" hidden="false" customHeight="false" outlineLevel="0" collapsed="false">
      <c r="B12" s="24" t="s">
        <v>86</v>
      </c>
      <c r="C12" s="25" t="n">
        <v>46134</v>
      </c>
      <c r="D12" s="26" t="s">
        <v>87</v>
      </c>
      <c r="E12" s="24" t="s">
        <v>88</v>
      </c>
      <c r="F12" s="27" t="n">
        <v>8851</v>
      </c>
      <c r="G12" s="24" t="s">
        <v>18</v>
      </c>
      <c r="H12" s="24" t="s">
        <v>21</v>
      </c>
      <c r="I12" s="24" t="s">
        <v>67</v>
      </c>
      <c r="J12" s="21" t="n">
        <f aca="false">VLOOKUP(H12, Reference!$B$4:$D$24, 3, FALSE())</f>
        <v>5</v>
      </c>
      <c r="K12" s="21" t="n">
        <f aca="false">VLOOKUP(G12, Reference!$F$4:$G$11, 2, FALSE())</f>
        <v>5</v>
      </c>
      <c r="L12" s="22" t="n">
        <f aca="false">J12+K12+IF(F12&gt;10000, WRuleAmt10k, 0)+IF(AND(F12&gt;=9000, F12&lt;=9999), WRuleStructure, 0)+IF(MOD(F12,1000)=0, WRuleRound, 0)+IF(OR(VALUE(LEFT(D12,2))&lt;7, VALUE(LEFT(D12,2))&gt;21), WRuleAfterHours, 0)+IF(WEEKDAY(C12,2)&gt;5, WRuleWeekend, 0)+IF(I12="Yes", WRulePEP, 0)+IF(COUNTIFS($C$5:$C$204,C12,$E$5:$E$204,E12)&gt;10, WRuleVelocity, 0)</f>
        <v>10</v>
      </c>
      <c r="M12" s="23" t="str">
        <f aca="false">IF(L12&gt;=SARThreshold,"REVIEW","OK")</f>
        <v>OK</v>
      </c>
    </row>
    <row r="13" customFormat="false" ht="15" hidden="false" customHeight="false" outlineLevel="0" collapsed="false">
      <c r="B13" s="17" t="s">
        <v>89</v>
      </c>
      <c r="C13" s="18" t="n">
        <v>46121</v>
      </c>
      <c r="D13" s="19" t="s">
        <v>90</v>
      </c>
      <c r="E13" s="17" t="s">
        <v>66</v>
      </c>
      <c r="F13" s="20" t="n">
        <v>1016</v>
      </c>
      <c r="G13" s="17" t="s">
        <v>18</v>
      </c>
      <c r="H13" s="17" t="s">
        <v>13</v>
      </c>
      <c r="I13" s="17" t="s">
        <v>67</v>
      </c>
      <c r="J13" s="21" t="n">
        <f aca="false">VLOOKUP(H13, Reference!$B$4:$D$24, 3, FALSE())</f>
        <v>5</v>
      </c>
      <c r="K13" s="21" t="n">
        <f aca="false">VLOOKUP(G13, Reference!$F$4:$G$11, 2, FALSE())</f>
        <v>5</v>
      </c>
      <c r="L13" s="22" t="n">
        <f aca="false">J13+K13+IF(F13&gt;10000, WRuleAmt10k, 0)+IF(AND(F13&gt;=9000, F13&lt;=9999), WRuleStructure, 0)+IF(MOD(F13,1000)=0, WRuleRound, 0)+IF(OR(VALUE(LEFT(D13,2))&lt;7, VALUE(LEFT(D13,2))&gt;21), WRuleAfterHours, 0)+IF(WEEKDAY(C13,2)&gt;5, WRuleWeekend, 0)+IF(I13="Yes", WRulePEP, 0)+IF(COUNTIFS($C$5:$C$204,C13,$E$5:$E$204,E13)&gt;10, WRuleVelocity, 0)</f>
        <v>10</v>
      </c>
      <c r="M13" s="23" t="str">
        <f aca="false">IF(L13&gt;=SARThreshold,"REVIEW","OK")</f>
        <v>OK</v>
      </c>
    </row>
    <row r="14" customFormat="false" ht="15" hidden="false" customHeight="false" outlineLevel="0" collapsed="false">
      <c r="B14" s="24" t="s">
        <v>91</v>
      </c>
      <c r="C14" s="25" t="n">
        <v>46125</v>
      </c>
      <c r="D14" s="26" t="s">
        <v>74</v>
      </c>
      <c r="E14" s="24" t="s">
        <v>92</v>
      </c>
      <c r="F14" s="27" t="n">
        <v>5255</v>
      </c>
      <c r="G14" s="24" t="s">
        <v>18</v>
      </c>
      <c r="H14" s="24" t="s">
        <v>42</v>
      </c>
      <c r="I14" s="24" t="s">
        <v>67</v>
      </c>
      <c r="J14" s="21" t="n">
        <f aca="false">VLOOKUP(H14, Reference!$B$4:$D$24, 3, FALSE())</f>
        <v>50</v>
      </c>
      <c r="K14" s="21" t="n">
        <f aca="false">VLOOKUP(G14, Reference!$F$4:$G$11, 2, FALSE())</f>
        <v>5</v>
      </c>
      <c r="L14" s="22" t="n">
        <f aca="false">J14+K14+IF(F14&gt;10000, WRuleAmt10k, 0)+IF(AND(F14&gt;=9000, F14&lt;=9999), WRuleStructure, 0)+IF(MOD(F14,1000)=0, WRuleRound, 0)+IF(OR(VALUE(LEFT(D14,2))&lt;7, VALUE(LEFT(D14,2))&gt;21), WRuleAfterHours, 0)+IF(WEEKDAY(C14,2)&gt;5, WRuleWeekend, 0)+IF(I14="Yes", WRulePEP, 0)+IF(COUNTIFS($C$5:$C$204,C14,$E$5:$E$204,E14)&gt;10, WRuleVelocity, 0)</f>
        <v>55</v>
      </c>
      <c r="M14" s="23" t="str">
        <f aca="false">IF(L14&gt;=SARThreshold,"REVIEW","OK")</f>
        <v>OK</v>
      </c>
    </row>
    <row r="15" customFormat="false" ht="15" hidden="false" customHeight="false" outlineLevel="0" collapsed="false">
      <c r="B15" s="17" t="s">
        <v>93</v>
      </c>
      <c r="C15" s="18" t="n">
        <v>46141</v>
      </c>
      <c r="D15" s="19" t="s">
        <v>94</v>
      </c>
      <c r="E15" s="17" t="s">
        <v>95</v>
      </c>
      <c r="F15" s="20" t="n">
        <v>9762</v>
      </c>
      <c r="G15" s="17" t="s">
        <v>20</v>
      </c>
      <c r="H15" s="17" t="s">
        <v>39</v>
      </c>
      <c r="I15" s="17" t="s">
        <v>67</v>
      </c>
      <c r="J15" s="21" t="n">
        <f aca="false">VLOOKUP(H15, Reference!$B$4:$D$24, 3, FALSE())</f>
        <v>50</v>
      </c>
      <c r="K15" s="21" t="n">
        <f aca="false">VLOOKUP(G15, Reference!$F$4:$G$11, 2, FALSE())</f>
        <v>5</v>
      </c>
      <c r="L15" s="22" t="n">
        <f aca="false">J15+K15+IF(F15&gt;10000, WRuleAmt10k, 0)+IF(AND(F15&gt;=9000, F15&lt;=9999), WRuleStructure, 0)+IF(MOD(F15,1000)=0, WRuleRound, 0)+IF(OR(VALUE(LEFT(D15,2))&lt;7, VALUE(LEFT(D15,2))&gt;21), WRuleAfterHours, 0)+IF(WEEKDAY(C15,2)&gt;5, WRuleWeekend, 0)+IF(I15="Yes", WRulePEP, 0)+IF(COUNTIFS($C$5:$C$204,C15,$E$5:$E$204,E15)&gt;10, WRuleVelocity, 0)</f>
        <v>85</v>
      </c>
      <c r="M15" s="23" t="str">
        <f aca="false">IF(L15&gt;=SARThreshold,"REVIEW","OK")</f>
        <v>REVIEW</v>
      </c>
    </row>
    <row r="16" customFormat="false" ht="15" hidden="false" customHeight="false" outlineLevel="0" collapsed="false">
      <c r="B16" s="24" t="s">
        <v>96</v>
      </c>
      <c r="C16" s="25" t="n">
        <v>46131</v>
      </c>
      <c r="D16" s="26" t="s">
        <v>97</v>
      </c>
      <c r="E16" s="24" t="s">
        <v>98</v>
      </c>
      <c r="F16" s="27" t="n">
        <v>1589</v>
      </c>
      <c r="G16" s="24" t="s">
        <v>12</v>
      </c>
      <c r="H16" s="24" t="s">
        <v>17</v>
      </c>
      <c r="I16" s="24" t="s">
        <v>67</v>
      </c>
      <c r="J16" s="21" t="n">
        <f aca="false">VLOOKUP(H16, Reference!$B$4:$D$24, 3, FALSE())</f>
        <v>5</v>
      </c>
      <c r="K16" s="21" t="n">
        <f aca="false">VLOOKUP(G16, Reference!$F$4:$G$11, 2, FALSE())</f>
        <v>10</v>
      </c>
      <c r="L16" s="22" t="n">
        <f aca="false">J16+K16+IF(F16&gt;10000, WRuleAmt10k, 0)+IF(AND(F16&gt;=9000, F16&lt;=9999), WRuleStructure, 0)+IF(MOD(F16,1000)=0, WRuleRound, 0)+IF(OR(VALUE(LEFT(D16,2))&lt;7, VALUE(LEFT(D16,2))&gt;21), WRuleAfterHours, 0)+IF(WEEKDAY(C16,2)&gt;5, WRuleWeekend, 0)+IF(I16="Yes", WRulePEP, 0)+IF(COUNTIFS($C$5:$C$204,C16,$E$5:$E$204,E16)&gt;10, WRuleVelocity, 0)</f>
        <v>23</v>
      </c>
      <c r="M16" s="23" t="str">
        <f aca="false">IF(L16&gt;=SARThreshold,"REVIEW","OK")</f>
        <v>OK</v>
      </c>
    </row>
    <row r="17" customFormat="false" ht="15" hidden="false" customHeight="false" outlineLevel="0" collapsed="false">
      <c r="B17" s="17" t="s">
        <v>99</v>
      </c>
      <c r="C17" s="18" t="n">
        <v>46118</v>
      </c>
      <c r="D17" s="19" t="s">
        <v>100</v>
      </c>
      <c r="E17" s="17" t="s">
        <v>101</v>
      </c>
      <c r="F17" s="20" t="n">
        <v>3000</v>
      </c>
      <c r="G17" s="17" t="s">
        <v>20</v>
      </c>
      <c r="H17" s="17" t="s">
        <v>38</v>
      </c>
      <c r="I17" s="17" t="s">
        <v>67</v>
      </c>
      <c r="J17" s="21" t="n">
        <f aca="false">VLOOKUP(H17, Reference!$B$4:$D$24, 3, FALSE())</f>
        <v>30</v>
      </c>
      <c r="K17" s="21" t="n">
        <f aca="false">VLOOKUP(G17, Reference!$F$4:$G$11, 2, FALSE())</f>
        <v>5</v>
      </c>
      <c r="L17" s="22" t="n">
        <f aca="false">J17+K17+IF(F17&gt;10000, WRuleAmt10k, 0)+IF(AND(F17&gt;=9000, F17&lt;=9999), WRuleStructure, 0)+IF(MOD(F17,1000)=0, WRuleRound, 0)+IF(OR(VALUE(LEFT(D17,2))&lt;7, VALUE(LEFT(D17,2))&gt;21), WRuleAfterHours, 0)+IF(WEEKDAY(C17,2)&gt;5, WRuleWeekend, 0)+IF(I17="Yes", WRulePEP, 0)+IF(COUNTIFS($C$5:$C$204,C17,$E$5:$E$204,E17)&gt;10, WRuleVelocity, 0)</f>
        <v>45</v>
      </c>
      <c r="M17" s="23" t="str">
        <f aca="false">IF(L17&gt;=SARThreshold,"REVIEW","OK")</f>
        <v>OK</v>
      </c>
    </row>
    <row r="18" customFormat="false" ht="15" hidden="false" customHeight="false" outlineLevel="0" collapsed="false">
      <c r="B18" s="24" t="s">
        <v>102</v>
      </c>
      <c r="C18" s="25" t="n">
        <v>46113</v>
      </c>
      <c r="D18" s="26" t="s">
        <v>103</v>
      </c>
      <c r="E18" s="24" t="s">
        <v>104</v>
      </c>
      <c r="F18" s="27" t="n">
        <v>4471</v>
      </c>
      <c r="G18" s="24" t="s">
        <v>22</v>
      </c>
      <c r="H18" s="24" t="s">
        <v>17</v>
      </c>
      <c r="I18" s="24" t="s">
        <v>67</v>
      </c>
      <c r="J18" s="21" t="n">
        <f aca="false">VLOOKUP(H18, Reference!$B$4:$D$24, 3, FALSE())</f>
        <v>5</v>
      </c>
      <c r="K18" s="21" t="n">
        <f aca="false">VLOOKUP(G18, Reference!$F$4:$G$11, 2, FALSE())</f>
        <v>20</v>
      </c>
      <c r="L18" s="22" t="n">
        <f aca="false">J18+K18+IF(F18&gt;10000, WRuleAmt10k, 0)+IF(AND(F18&gt;=9000, F18&lt;=9999), WRuleStructure, 0)+IF(MOD(F18,1000)=0, WRuleRound, 0)+IF(OR(VALUE(LEFT(D18,2))&lt;7, VALUE(LEFT(D18,2))&gt;21), WRuleAfterHours, 0)+IF(WEEKDAY(C18,2)&gt;5, WRuleWeekend, 0)+IF(I18="Yes", WRulePEP, 0)+IF(COUNTIFS($C$5:$C$204,C18,$E$5:$E$204,E18)&gt;10, WRuleVelocity, 0)</f>
        <v>25</v>
      </c>
      <c r="M18" s="23" t="str">
        <f aca="false">IF(L18&gt;=SARThreshold,"REVIEW","OK")</f>
        <v>OK</v>
      </c>
    </row>
    <row r="19" customFormat="false" ht="15" hidden="false" customHeight="false" outlineLevel="0" collapsed="false">
      <c r="B19" s="17" t="s">
        <v>105</v>
      </c>
      <c r="C19" s="18" t="n">
        <v>46118</v>
      </c>
      <c r="D19" s="19" t="s">
        <v>106</v>
      </c>
      <c r="E19" s="17" t="s">
        <v>107</v>
      </c>
      <c r="F19" s="20" t="n">
        <v>8417</v>
      </c>
      <c r="G19" s="17" t="s">
        <v>14</v>
      </c>
      <c r="H19" s="17" t="s">
        <v>42</v>
      </c>
      <c r="I19" s="17" t="s">
        <v>67</v>
      </c>
      <c r="J19" s="21" t="n">
        <f aca="false">VLOOKUP(H19, Reference!$B$4:$D$24, 3, FALSE())</f>
        <v>50</v>
      </c>
      <c r="K19" s="21" t="n">
        <f aca="false">VLOOKUP(G19, Reference!$F$4:$G$11, 2, FALSE())</f>
        <v>15</v>
      </c>
      <c r="L19" s="22" t="n">
        <f aca="false">J19+K19+IF(F19&gt;10000, WRuleAmt10k, 0)+IF(AND(F19&gt;=9000, F19&lt;=9999), WRuleStructure, 0)+IF(MOD(F19,1000)=0, WRuleRound, 0)+IF(OR(VALUE(LEFT(D19,2))&lt;7, VALUE(LEFT(D19,2))&gt;21), WRuleAfterHours, 0)+IF(WEEKDAY(C19,2)&gt;5, WRuleWeekend, 0)+IF(I19="Yes", WRulePEP, 0)+IF(COUNTIFS($C$5:$C$204,C19,$E$5:$E$204,E19)&gt;10, WRuleVelocity, 0)</f>
        <v>65</v>
      </c>
      <c r="M19" s="23" t="str">
        <f aca="false">IF(L19&gt;=SARThreshold,"REVIEW","OK")</f>
        <v>REVIEW</v>
      </c>
    </row>
    <row r="20" customFormat="false" ht="15" hidden="false" customHeight="false" outlineLevel="0" collapsed="false">
      <c r="B20" s="24" t="s">
        <v>108</v>
      </c>
      <c r="C20" s="25" t="n">
        <v>46133</v>
      </c>
      <c r="D20" s="26" t="s">
        <v>109</v>
      </c>
      <c r="E20" s="24" t="s">
        <v>98</v>
      </c>
      <c r="F20" s="27" t="n">
        <v>2000</v>
      </c>
      <c r="G20" s="24" t="s">
        <v>12</v>
      </c>
      <c r="H20" s="24" t="s">
        <v>41</v>
      </c>
      <c r="I20" s="24" t="s">
        <v>67</v>
      </c>
      <c r="J20" s="21" t="n">
        <f aca="false">VLOOKUP(H20, Reference!$B$4:$D$24, 3, FALSE())</f>
        <v>50</v>
      </c>
      <c r="K20" s="21" t="n">
        <f aca="false">VLOOKUP(G20, Reference!$F$4:$G$11, 2, FALSE())</f>
        <v>10</v>
      </c>
      <c r="L20" s="22" t="n">
        <f aca="false">J20+K20+IF(F20&gt;10000, WRuleAmt10k, 0)+IF(AND(F20&gt;=9000, F20&lt;=9999), WRuleStructure, 0)+IF(MOD(F20,1000)=0, WRuleRound, 0)+IF(OR(VALUE(LEFT(D20,2))&lt;7, VALUE(LEFT(D20,2))&gt;21), WRuleAfterHours, 0)+IF(WEEKDAY(C20,2)&gt;5, WRuleWeekend, 0)+IF(I20="Yes", WRulePEP, 0)+IF(COUNTIFS($C$5:$C$204,C20,$E$5:$E$204,E20)&gt;10, WRuleVelocity, 0)</f>
        <v>70</v>
      </c>
      <c r="M20" s="23" t="str">
        <f aca="false">IF(L20&gt;=SARThreshold,"REVIEW","OK")</f>
        <v>REVIEW</v>
      </c>
    </row>
    <row r="21" customFormat="false" ht="15" hidden="false" customHeight="false" outlineLevel="0" collapsed="false">
      <c r="B21" s="17" t="s">
        <v>110</v>
      </c>
      <c r="C21" s="18" t="n">
        <v>46113</v>
      </c>
      <c r="D21" s="19" t="s">
        <v>65</v>
      </c>
      <c r="E21" s="17" t="s">
        <v>111</v>
      </c>
      <c r="F21" s="20" t="n">
        <v>5138</v>
      </c>
      <c r="G21" s="17" t="s">
        <v>18</v>
      </c>
      <c r="H21" s="17" t="s">
        <v>13</v>
      </c>
      <c r="I21" s="17" t="s">
        <v>67</v>
      </c>
      <c r="J21" s="21" t="n">
        <f aca="false">VLOOKUP(H21, Reference!$B$4:$D$24, 3, FALSE())</f>
        <v>5</v>
      </c>
      <c r="K21" s="21" t="n">
        <f aca="false">VLOOKUP(G21, Reference!$F$4:$G$11, 2, FALSE())</f>
        <v>5</v>
      </c>
      <c r="L21" s="22" t="n">
        <f aca="false">J21+K21+IF(F21&gt;10000, WRuleAmt10k, 0)+IF(AND(F21&gt;=9000, F21&lt;=9999), WRuleStructure, 0)+IF(MOD(F21,1000)=0, WRuleRound, 0)+IF(OR(VALUE(LEFT(D21,2))&lt;7, VALUE(LEFT(D21,2))&gt;21), WRuleAfterHours, 0)+IF(WEEKDAY(C21,2)&gt;5, WRuleWeekend, 0)+IF(I21="Yes", WRulePEP, 0)+IF(COUNTIFS($C$5:$C$204,C21,$E$5:$E$204,E21)&gt;10, WRuleVelocity, 0)</f>
        <v>20</v>
      </c>
      <c r="M21" s="23" t="str">
        <f aca="false">IF(L21&gt;=SARThreshold,"REVIEW","OK")</f>
        <v>OK</v>
      </c>
    </row>
    <row r="22" customFormat="false" ht="15" hidden="false" customHeight="false" outlineLevel="0" collapsed="false">
      <c r="B22" s="24" t="s">
        <v>112</v>
      </c>
      <c r="C22" s="25" t="n">
        <v>46131</v>
      </c>
      <c r="D22" s="26" t="s">
        <v>113</v>
      </c>
      <c r="E22" s="24" t="s">
        <v>114</v>
      </c>
      <c r="F22" s="27" t="n">
        <v>75000</v>
      </c>
      <c r="G22" s="24" t="s">
        <v>16</v>
      </c>
      <c r="H22" s="24" t="s">
        <v>19</v>
      </c>
      <c r="I22" s="24" t="s">
        <v>67</v>
      </c>
      <c r="J22" s="21" t="n">
        <f aca="false">VLOOKUP(H22, Reference!$B$4:$D$24, 3, FALSE())</f>
        <v>5</v>
      </c>
      <c r="K22" s="21" t="n">
        <f aca="false">VLOOKUP(G22, Reference!$F$4:$G$11, 2, FALSE())</f>
        <v>15</v>
      </c>
      <c r="L22" s="22" t="n">
        <f aca="false">J22+K22+IF(F22&gt;10000, WRuleAmt10k, 0)+IF(AND(F22&gt;=9000, F22&lt;=9999), WRuleStructure, 0)+IF(MOD(F22,1000)=0, WRuleRound, 0)+IF(OR(VALUE(LEFT(D22,2))&lt;7, VALUE(LEFT(D22,2))&gt;21), WRuleAfterHours, 0)+IF(WEEKDAY(C22,2)&gt;5, WRuleWeekend, 0)+IF(I22="Yes", WRulePEP, 0)+IF(COUNTIFS($C$5:$C$204,C22,$E$5:$E$204,E22)&gt;10, WRuleVelocity, 0)</f>
        <v>73</v>
      </c>
      <c r="M22" s="23" t="str">
        <f aca="false">IF(L22&gt;=SARThreshold,"REVIEW","OK")</f>
        <v>REVIEW</v>
      </c>
    </row>
    <row r="23" customFormat="false" ht="15" hidden="false" customHeight="false" outlineLevel="0" collapsed="false">
      <c r="B23" s="17" t="s">
        <v>115</v>
      </c>
      <c r="C23" s="18" t="n">
        <v>46130</v>
      </c>
      <c r="D23" s="19" t="s">
        <v>116</v>
      </c>
      <c r="E23" s="17" t="s">
        <v>117</v>
      </c>
      <c r="F23" s="20" t="n">
        <v>3570</v>
      </c>
      <c r="G23" s="17" t="s">
        <v>18</v>
      </c>
      <c r="H23" s="17" t="s">
        <v>29</v>
      </c>
      <c r="I23" s="17" t="s">
        <v>67</v>
      </c>
      <c r="J23" s="21" t="n">
        <f aca="false">VLOOKUP(H23, Reference!$B$4:$D$24, 3, FALSE())</f>
        <v>15</v>
      </c>
      <c r="K23" s="21" t="n">
        <f aca="false">VLOOKUP(G23, Reference!$F$4:$G$11, 2, FALSE())</f>
        <v>5</v>
      </c>
      <c r="L23" s="22" t="n">
        <f aca="false">J23+K23+IF(F23&gt;10000, WRuleAmt10k, 0)+IF(AND(F23&gt;=9000, F23&lt;=9999), WRuleStructure, 0)+IF(MOD(F23,1000)=0, WRuleRound, 0)+IF(OR(VALUE(LEFT(D23,2))&lt;7, VALUE(LEFT(D23,2))&gt;21), WRuleAfterHours, 0)+IF(WEEKDAY(C23,2)&gt;5, WRuleWeekend, 0)+IF(I23="Yes", WRulePEP, 0)+IF(COUNTIFS($C$5:$C$204,C23,$E$5:$E$204,E23)&gt;10, WRuleVelocity, 0)</f>
        <v>38</v>
      </c>
      <c r="M23" s="23" t="str">
        <f aca="false">IF(L23&gt;=SARThreshold,"REVIEW","OK")</f>
        <v>OK</v>
      </c>
    </row>
    <row r="24" customFormat="false" ht="15" hidden="false" customHeight="false" outlineLevel="0" collapsed="false">
      <c r="B24" s="24" t="s">
        <v>118</v>
      </c>
      <c r="C24" s="25" t="n">
        <v>46134</v>
      </c>
      <c r="D24" s="26" t="s">
        <v>119</v>
      </c>
      <c r="E24" s="24" t="s">
        <v>111</v>
      </c>
      <c r="F24" s="27" t="n">
        <v>2082</v>
      </c>
      <c r="G24" s="24" t="s">
        <v>18</v>
      </c>
      <c r="H24" s="24" t="s">
        <v>25</v>
      </c>
      <c r="I24" s="24" t="s">
        <v>79</v>
      </c>
      <c r="J24" s="21" t="n">
        <f aca="false">VLOOKUP(H24, Reference!$B$4:$D$24, 3, FALSE())</f>
        <v>5</v>
      </c>
      <c r="K24" s="21" t="n">
        <f aca="false">VLOOKUP(G24, Reference!$F$4:$G$11, 2, FALSE())</f>
        <v>5</v>
      </c>
      <c r="L24" s="22" t="n">
        <f aca="false">J24+K24+IF(F24&gt;10000, WRuleAmt10k, 0)+IF(AND(F24&gt;=9000, F24&lt;=9999), WRuleStructure, 0)+IF(MOD(F24,1000)=0, WRuleRound, 0)+IF(OR(VALUE(LEFT(D24,2))&lt;7, VALUE(LEFT(D24,2))&gt;21), WRuleAfterHours, 0)+IF(WEEKDAY(C24,2)&gt;5, WRuleWeekend, 0)+IF(I24="Yes", WRulePEP, 0)+IF(COUNTIFS($C$5:$C$204,C24,$E$5:$E$204,E24)&gt;10, WRuleVelocity, 0)</f>
        <v>35</v>
      </c>
      <c r="M24" s="23" t="str">
        <f aca="false">IF(L24&gt;=SARThreshold,"REVIEW","OK")</f>
        <v>OK</v>
      </c>
    </row>
    <row r="25" customFormat="false" ht="15" hidden="false" customHeight="false" outlineLevel="0" collapsed="false">
      <c r="B25" s="17" t="s">
        <v>120</v>
      </c>
      <c r="C25" s="18" t="n">
        <v>46113</v>
      </c>
      <c r="D25" s="19" t="s">
        <v>121</v>
      </c>
      <c r="E25" s="17" t="s">
        <v>82</v>
      </c>
      <c r="F25" s="20" t="n">
        <v>9072</v>
      </c>
      <c r="G25" s="17" t="s">
        <v>12</v>
      </c>
      <c r="H25" s="17" t="s">
        <v>25</v>
      </c>
      <c r="I25" s="17" t="s">
        <v>79</v>
      </c>
      <c r="J25" s="21" t="n">
        <f aca="false">VLOOKUP(H25, Reference!$B$4:$D$24, 3, FALSE())</f>
        <v>5</v>
      </c>
      <c r="K25" s="21" t="n">
        <f aca="false">VLOOKUP(G25, Reference!$F$4:$G$11, 2, FALSE())</f>
        <v>10</v>
      </c>
      <c r="L25" s="22" t="n">
        <f aca="false">J25+K25+IF(F25&gt;10000, WRuleAmt10k, 0)+IF(AND(F25&gt;=9000, F25&lt;=9999), WRuleStructure, 0)+IF(MOD(F25,1000)=0, WRuleRound, 0)+IF(OR(VALUE(LEFT(D25,2))&lt;7, VALUE(LEFT(D25,2))&gt;21), WRuleAfterHours, 0)+IF(WEEKDAY(C25,2)&gt;5, WRuleWeekend, 0)+IF(I25="Yes", WRulePEP, 0)+IF(COUNTIFS($C$5:$C$204,C25,$E$5:$E$204,E25)&gt;10, WRuleVelocity, 0)</f>
        <v>70</v>
      </c>
      <c r="M25" s="23" t="str">
        <f aca="false">IF(L25&gt;=SARThreshold,"REVIEW","OK")</f>
        <v>REVIEW</v>
      </c>
    </row>
    <row r="26" customFormat="false" ht="15" hidden="false" customHeight="false" outlineLevel="0" collapsed="false">
      <c r="B26" s="24" t="s">
        <v>122</v>
      </c>
      <c r="C26" s="25" t="n">
        <v>46114</v>
      </c>
      <c r="D26" s="26" t="s">
        <v>123</v>
      </c>
      <c r="E26" s="24" t="s">
        <v>66</v>
      </c>
      <c r="F26" s="27" t="n">
        <v>3000</v>
      </c>
      <c r="G26" s="24" t="s">
        <v>18</v>
      </c>
      <c r="H26" s="24" t="s">
        <v>38</v>
      </c>
      <c r="I26" s="24" t="s">
        <v>67</v>
      </c>
      <c r="J26" s="21" t="n">
        <f aca="false">VLOOKUP(H26, Reference!$B$4:$D$24, 3, FALSE())</f>
        <v>30</v>
      </c>
      <c r="K26" s="21" t="n">
        <f aca="false">VLOOKUP(G26, Reference!$F$4:$G$11, 2, FALSE())</f>
        <v>5</v>
      </c>
      <c r="L26" s="22" t="n">
        <f aca="false">J26+K26+IF(F26&gt;10000, WRuleAmt10k, 0)+IF(AND(F26&gt;=9000, F26&lt;=9999), WRuleStructure, 0)+IF(MOD(F26,1000)=0, WRuleRound, 0)+IF(OR(VALUE(LEFT(D26,2))&lt;7, VALUE(LEFT(D26,2))&gt;21), WRuleAfterHours, 0)+IF(WEEKDAY(C26,2)&gt;5, WRuleWeekend, 0)+IF(I26="Yes", WRulePEP, 0)+IF(COUNTIFS($C$5:$C$204,C26,$E$5:$E$204,E26)&gt;10, WRuleVelocity, 0)</f>
        <v>45</v>
      </c>
      <c r="M26" s="23" t="str">
        <f aca="false">IF(L26&gt;=SARThreshold,"REVIEW","OK")</f>
        <v>OK</v>
      </c>
    </row>
    <row r="27" customFormat="false" ht="15" hidden="false" customHeight="false" outlineLevel="0" collapsed="false">
      <c r="B27" s="17" t="s">
        <v>124</v>
      </c>
      <c r="C27" s="18" t="n">
        <v>46142</v>
      </c>
      <c r="D27" s="19" t="s">
        <v>125</v>
      </c>
      <c r="E27" s="17" t="s">
        <v>66</v>
      </c>
      <c r="F27" s="20" t="n">
        <v>6769</v>
      </c>
      <c r="G27" s="17" t="s">
        <v>18</v>
      </c>
      <c r="H27" s="17" t="s">
        <v>17</v>
      </c>
      <c r="I27" s="17" t="s">
        <v>67</v>
      </c>
      <c r="J27" s="21" t="n">
        <f aca="false">VLOOKUP(H27, Reference!$B$4:$D$24, 3, FALSE())</f>
        <v>5</v>
      </c>
      <c r="K27" s="21" t="n">
        <f aca="false">VLOOKUP(G27, Reference!$F$4:$G$11, 2, FALSE())</f>
        <v>5</v>
      </c>
      <c r="L27" s="22" t="n">
        <f aca="false">J27+K27+IF(F27&gt;10000, WRuleAmt10k, 0)+IF(AND(F27&gt;=9000, F27&lt;=9999), WRuleStructure, 0)+IF(MOD(F27,1000)=0, WRuleRound, 0)+IF(OR(VALUE(LEFT(D27,2))&lt;7, VALUE(LEFT(D27,2))&gt;21), WRuleAfterHours, 0)+IF(WEEKDAY(C27,2)&gt;5, WRuleWeekend, 0)+IF(I27="Yes", WRulePEP, 0)+IF(COUNTIFS($C$5:$C$204,C27,$E$5:$E$204,E27)&gt;10, WRuleVelocity, 0)</f>
        <v>10</v>
      </c>
      <c r="M27" s="23" t="str">
        <f aca="false">IF(L27&gt;=SARThreshold,"REVIEW","OK")</f>
        <v>OK</v>
      </c>
    </row>
    <row r="28" customFormat="false" ht="15" hidden="false" customHeight="false" outlineLevel="0" collapsed="false">
      <c r="B28" s="24" t="s">
        <v>126</v>
      </c>
      <c r="C28" s="25" t="n">
        <v>46126</v>
      </c>
      <c r="D28" s="26" t="s">
        <v>127</v>
      </c>
      <c r="E28" s="24" t="s">
        <v>128</v>
      </c>
      <c r="F28" s="27" t="n">
        <v>987</v>
      </c>
      <c r="G28" s="24" t="s">
        <v>14</v>
      </c>
      <c r="H28" s="24" t="s">
        <v>13</v>
      </c>
      <c r="I28" s="24" t="s">
        <v>67</v>
      </c>
      <c r="J28" s="21" t="n">
        <f aca="false">VLOOKUP(H28, Reference!$B$4:$D$24, 3, FALSE())</f>
        <v>5</v>
      </c>
      <c r="K28" s="21" t="n">
        <f aca="false">VLOOKUP(G28, Reference!$F$4:$G$11, 2, FALSE())</f>
        <v>15</v>
      </c>
      <c r="L28" s="22" t="n">
        <f aca="false">J28+K28+IF(F28&gt;10000, WRuleAmt10k, 0)+IF(AND(F28&gt;=9000, F28&lt;=9999), WRuleStructure, 0)+IF(MOD(F28,1000)=0, WRuleRound, 0)+IF(OR(VALUE(LEFT(D28,2))&lt;7, VALUE(LEFT(D28,2))&gt;21), WRuleAfterHours, 0)+IF(WEEKDAY(C28,2)&gt;5, WRuleWeekend, 0)+IF(I28="Yes", WRulePEP, 0)+IF(COUNTIFS($C$5:$C$204,C28,$E$5:$E$204,E28)&gt;10, WRuleVelocity, 0)</f>
        <v>20</v>
      </c>
      <c r="M28" s="23" t="str">
        <f aca="false">IF(L28&gt;=SARThreshold,"REVIEW","OK")</f>
        <v>OK</v>
      </c>
    </row>
    <row r="29" customFormat="false" ht="15" hidden="false" customHeight="false" outlineLevel="0" collapsed="false">
      <c r="B29" s="17" t="s">
        <v>129</v>
      </c>
      <c r="C29" s="18" t="n">
        <v>46123</v>
      </c>
      <c r="D29" s="19" t="s">
        <v>130</v>
      </c>
      <c r="E29" s="17" t="s">
        <v>70</v>
      </c>
      <c r="F29" s="20" t="n">
        <v>2396</v>
      </c>
      <c r="G29" s="17" t="s">
        <v>24</v>
      </c>
      <c r="H29" s="17" t="s">
        <v>21</v>
      </c>
      <c r="I29" s="17" t="s">
        <v>67</v>
      </c>
      <c r="J29" s="21" t="n">
        <f aca="false">VLOOKUP(H29, Reference!$B$4:$D$24, 3, FALSE())</f>
        <v>5</v>
      </c>
      <c r="K29" s="21" t="n">
        <f aca="false">VLOOKUP(G29, Reference!$F$4:$G$11, 2, FALSE())</f>
        <v>25</v>
      </c>
      <c r="L29" s="22" t="n">
        <f aca="false">J29+K29+IF(F29&gt;10000, WRuleAmt10k, 0)+IF(AND(F29&gt;=9000, F29&lt;=9999), WRuleStructure, 0)+IF(MOD(F29,1000)=0, WRuleRound, 0)+IF(OR(VALUE(LEFT(D29,2))&lt;7, VALUE(LEFT(D29,2))&gt;21), WRuleAfterHours, 0)+IF(WEEKDAY(C29,2)&gt;5, WRuleWeekend, 0)+IF(I29="Yes", WRulePEP, 0)+IF(COUNTIFS($C$5:$C$204,C29,$E$5:$E$204,E29)&gt;10, WRuleVelocity, 0)</f>
        <v>48</v>
      </c>
      <c r="M29" s="23" t="str">
        <f aca="false">IF(L29&gt;=SARThreshold,"REVIEW","OK")</f>
        <v>OK</v>
      </c>
    </row>
    <row r="30" customFormat="false" ht="15" hidden="false" customHeight="false" outlineLevel="0" collapsed="false">
      <c r="B30" s="24" t="s">
        <v>131</v>
      </c>
      <c r="C30" s="25" t="n">
        <v>46120</v>
      </c>
      <c r="D30" s="26" t="s">
        <v>132</v>
      </c>
      <c r="E30" s="24" t="s">
        <v>133</v>
      </c>
      <c r="F30" s="27" t="n">
        <v>75000</v>
      </c>
      <c r="G30" s="24" t="s">
        <v>12</v>
      </c>
      <c r="H30" s="24" t="s">
        <v>15</v>
      </c>
      <c r="I30" s="24" t="s">
        <v>67</v>
      </c>
      <c r="J30" s="21" t="n">
        <f aca="false">VLOOKUP(H30, Reference!$B$4:$D$24, 3, FALSE())</f>
        <v>5</v>
      </c>
      <c r="K30" s="21" t="n">
        <f aca="false">VLOOKUP(G30, Reference!$F$4:$G$11, 2, FALSE())</f>
        <v>10</v>
      </c>
      <c r="L30" s="22" t="n">
        <f aca="false">J30+K30+IF(F30&gt;10000, WRuleAmt10k, 0)+IF(AND(F30&gt;=9000, F30&lt;=9999), WRuleStructure, 0)+IF(MOD(F30,1000)=0, WRuleRound, 0)+IF(OR(VALUE(LEFT(D30,2))&lt;7, VALUE(LEFT(D30,2))&gt;21), WRuleAfterHours, 0)+IF(WEEKDAY(C30,2)&gt;5, WRuleWeekend, 0)+IF(I30="Yes", WRulePEP, 0)+IF(COUNTIFS($C$5:$C$204,C30,$E$5:$E$204,E30)&gt;10, WRuleVelocity, 0)</f>
        <v>60</v>
      </c>
      <c r="M30" s="23" t="str">
        <f aca="false">IF(L30&gt;=SARThreshold,"REVIEW","OK")</f>
        <v>REVIEW</v>
      </c>
    </row>
    <row r="31" customFormat="false" ht="15" hidden="false" customHeight="false" outlineLevel="0" collapsed="false">
      <c r="B31" s="17" t="s">
        <v>134</v>
      </c>
      <c r="C31" s="18" t="n">
        <v>46140</v>
      </c>
      <c r="D31" s="19" t="s">
        <v>135</v>
      </c>
      <c r="E31" s="17" t="s">
        <v>136</v>
      </c>
      <c r="F31" s="20" t="n">
        <v>6670</v>
      </c>
      <c r="G31" s="17" t="s">
        <v>12</v>
      </c>
      <c r="H31" s="17" t="s">
        <v>21</v>
      </c>
      <c r="I31" s="17" t="s">
        <v>67</v>
      </c>
      <c r="J31" s="21" t="n">
        <f aca="false">VLOOKUP(H31, Reference!$B$4:$D$24, 3, FALSE())</f>
        <v>5</v>
      </c>
      <c r="K31" s="21" t="n">
        <f aca="false">VLOOKUP(G31, Reference!$F$4:$G$11, 2, FALSE())</f>
        <v>10</v>
      </c>
      <c r="L31" s="22" t="n">
        <f aca="false">J31+K31+IF(F31&gt;10000, WRuleAmt10k, 0)+IF(AND(F31&gt;=9000, F31&lt;=9999), WRuleStructure, 0)+IF(MOD(F31,1000)=0, WRuleRound, 0)+IF(OR(VALUE(LEFT(D31,2))&lt;7, VALUE(LEFT(D31,2))&gt;21), WRuleAfterHours, 0)+IF(WEEKDAY(C31,2)&gt;5, WRuleWeekend, 0)+IF(I31="Yes", WRulePEP, 0)+IF(COUNTIFS($C$5:$C$204,C31,$E$5:$E$204,E31)&gt;10, WRuleVelocity, 0)</f>
        <v>15</v>
      </c>
      <c r="M31" s="23" t="str">
        <f aca="false">IF(L31&gt;=SARThreshold,"REVIEW","OK")</f>
        <v>OK</v>
      </c>
    </row>
    <row r="32" customFormat="false" ht="15" hidden="false" customHeight="false" outlineLevel="0" collapsed="false">
      <c r="B32" s="24" t="s">
        <v>137</v>
      </c>
      <c r="C32" s="25" t="n">
        <v>46125</v>
      </c>
      <c r="D32" s="26" t="s">
        <v>138</v>
      </c>
      <c r="E32" s="24" t="s">
        <v>139</v>
      </c>
      <c r="F32" s="27" t="n">
        <v>3000</v>
      </c>
      <c r="G32" s="24" t="s">
        <v>16</v>
      </c>
      <c r="H32" s="24" t="s">
        <v>23</v>
      </c>
      <c r="I32" s="24" t="s">
        <v>67</v>
      </c>
      <c r="J32" s="21" t="n">
        <f aca="false">VLOOKUP(H32, Reference!$B$4:$D$24, 3, FALSE())</f>
        <v>5</v>
      </c>
      <c r="K32" s="21" t="n">
        <f aca="false">VLOOKUP(G32, Reference!$F$4:$G$11, 2, FALSE())</f>
        <v>15</v>
      </c>
      <c r="L32" s="22" t="n">
        <f aca="false">J32+K32+IF(F32&gt;10000, WRuleAmt10k, 0)+IF(AND(F32&gt;=9000, F32&lt;=9999), WRuleStructure, 0)+IF(MOD(F32,1000)=0, WRuleRound, 0)+IF(OR(VALUE(LEFT(D32,2))&lt;7, VALUE(LEFT(D32,2))&gt;21), WRuleAfterHours, 0)+IF(WEEKDAY(C32,2)&gt;5, WRuleWeekend, 0)+IF(I32="Yes", WRulePEP, 0)+IF(COUNTIFS($C$5:$C$204,C32,$E$5:$E$204,E32)&gt;10, WRuleVelocity, 0)</f>
        <v>30</v>
      </c>
      <c r="M32" s="23" t="str">
        <f aca="false">IF(L32&gt;=SARThreshold,"REVIEW","OK")</f>
        <v>OK</v>
      </c>
    </row>
    <row r="33" customFormat="false" ht="15" hidden="false" customHeight="false" outlineLevel="0" collapsed="false">
      <c r="B33" s="17" t="s">
        <v>140</v>
      </c>
      <c r="C33" s="18" t="n">
        <v>46114</v>
      </c>
      <c r="D33" s="19" t="s">
        <v>141</v>
      </c>
      <c r="E33" s="17" t="s">
        <v>142</v>
      </c>
      <c r="F33" s="20" t="n">
        <v>1036</v>
      </c>
      <c r="G33" s="17" t="s">
        <v>12</v>
      </c>
      <c r="H33" s="17" t="s">
        <v>39</v>
      </c>
      <c r="I33" s="17" t="s">
        <v>67</v>
      </c>
      <c r="J33" s="21" t="n">
        <f aca="false">VLOOKUP(H33, Reference!$B$4:$D$24, 3, FALSE())</f>
        <v>50</v>
      </c>
      <c r="K33" s="21" t="n">
        <f aca="false">VLOOKUP(G33, Reference!$F$4:$G$11, 2, FALSE())</f>
        <v>10</v>
      </c>
      <c r="L33" s="22" t="n">
        <f aca="false">J33+K33+IF(F33&gt;10000, WRuleAmt10k, 0)+IF(AND(F33&gt;=9000, F33&lt;=9999), WRuleStructure, 0)+IF(MOD(F33,1000)=0, WRuleRound, 0)+IF(OR(VALUE(LEFT(D33,2))&lt;7, VALUE(LEFT(D33,2))&gt;21), WRuleAfterHours, 0)+IF(WEEKDAY(C33,2)&gt;5, WRuleWeekend, 0)+IF(I33="Yes", WRulePEP, 0)+IF(COUNTIFS($C$5:$C$204,C33,$E$5:$E$204,E33)&gt;10, WRuleVelocity, 0)</f>
        <v>60</v>
      </c>
      <c r="M33" s="23" t="str">
        <f aca="false">IF(L33&gt;=SARThreshold,"REVIEW","OK")</f>
        <v>REVIEW</v>
      </c>
    </row>
    <row r="34" customFormat="false" ht="15" hidden="false" customHeight="false" outlineLevel="0" collapsed="false">
      <c r="B34" s="24" t="s">
        <v>143</v>
      </c>
      <c r="C34" s="25" t="n">
        <v>46142</v>
      </c>
      <c r="D34" s="26" t="s">
        <v>144</v>
      </c>
      <c r="E34" s="24" t="s">
        <v>75</v>
      </c>
      <c r="F34" s="27" t="n">
        <v>3144</v>
      </c>
      <c r="G34" s="24" t="s">
        <v>14</v>
      </c>
      <c r="H34" s="24" t="s">
        <v>41</v>
      </c>
      <c r="I34" s="24" t="s">
        <v>79</v>
      </c>
      <c r="J34" s="21" t="n">
        <f aca="false">VLOOKUP(H34, Reference!$B$4:$D$24, 3, FALSE())</f>
        <v>50</v>
      </c>
      <c r="K34" s="21" t="n">
        <f aca="false">VLOOKUP(G34, Reference!$F$4:$G$11, 2, FALSE())</f>
        <v>15</v>
      </c>
      <c r="L34" s="22" t="n">
        <f aca="false">J34+K34+IF(F34&gt;10000, WRuleAmt10k, 0)+IF(AND(F34&gt;=9000, F34&lt;=9999), WRuleStructure, 0)+IF(MOD(F34,1000)=0, WRuleRound, 0)+IF(OR(VALUE(LEFT(D34,2))&lt;7, VALUE(LEFT(D34,2))&gt;21), WRuleAfterHours, 0)+IF(WEEKDAY(C34,2)&gt;5, WRuleWeekend, 0)+IF(I34="Yes", WRulePEP, 0)+IF(COUNTIFS($C$5:$C$204,C34,$E$5:$E$204,E34)&gt;10, WRuleVelocity, 0)</f>
        <v>90</v>
      </c>
      <c r="M34" s="23" t="str">
        <f aca="false">IF(L34&gt;=SARThreshold,"REVIEW","OK")</f>
        <v>REVIEW</v>
      </c>
    </row>
    <row r="35" customFormat="false" ht="15" hidden="false" customHeight="false" outlineLevel="0" collapsed="false">
      <c r="B35" s="17" t="s">
        <v>145</v>
      </c>
      <c r="C35" s="18" t="n">
        <v>46140</v>
      </c>
      <c r="D35" s="19" t="s">
        <v>84</v>
      </c>
      <c r="E35" s="17" t="s">
        <v>75</v>
      </c>
      <c r="F35" s="20" t="n">
        <v>4133</v>
      </c>
      <c r="G35" s="17" t="s">
        <v>12</v>
      </c>
      <c r="H35" s="17" t="s">
        <v>41</v>
      </c>
      <c r="I35" s="17" t="s">
        <v>67</v>
      </c>
      <c r="J35" s="21" t="n">
        <f aca="false">VLOOKUP(H35, Reference!$B$4:$D$24, 3, FALSE())</f>
        <v>50</v>
      </c>
      <c r="K35" s="21" t="n">
        <f aca="false">VLOOKUP(G35, Reference!$F$4:$G$11, 2, FALSE())</f>
        <v>10</v>
      </c>
      <c r="L35" s="22" t="n">
        <f aca="false">J35+K35+IF(F35&gt;10000, WRuleAmt10k, 0)+IF(AND(F35&gt;=9000, F35&lt;=9999), WRuleStructure, 0)+IF(MOD(F35,1000)=0, WRuleRound, 0)+IF(OR(VALUE(LEFT(D35,2))&lt;7, VALUE(LEFT(D35,2))&gt;21), WRuleAfterHours, 0)+IF(WEEKDAY(C35,2)&gt;5, WRuleWeekend, 0)+IF(I35="Yes", WRulePEP, 0)+IF(COUNTIFS($C$5:$C$204,C35,$E$5:$E$204,E35)&gt;10, WRuleVelocity, 0)</f>
        <v>60</v>
      </c>
      <c r="M35" s="23" t="str">
        <f aca="false">IF(L35&gt;=SARThreshold,"REVIEW","OK")</f>
        <v>REVIEW</v>
      </c>
    </row>
    <row r="36" customFormat="false" ht="15" hidden="false" customHeight="false" outlineLevel="0" collapsed="false">
      <c r="B36" s="24" t="s">
        <v>146</v>
      </c>
      <c r="C36" s="25" t="n">
        <v>46134</v>
      </c>
      <c r="D36" s="26" t="s">
        <v>147</v>
      </c>
      <c r="E36" s="24" t="s">
        <v>148</v>
      </c>
      <c r="F36" s="27" t="n">
        <v>3446</v>
      </c>
      <c r="G36" s="24" t="s">
        <v>22</v>
      </c>
      <c r="H36" s="24" t="s">
        <v>25</v>
      </c>
      <c r="I36" s="24" t="s">
        <v>67</v>
      </c>
      <c r="J36" s="21" t="n">
        <f aca="false">VLOOKUP(H36, Reference!$B$4:$D$24, 3, FALSE())</f>
        <v>5</v>
      </c>
      <c r="K36" s="21" t="n">
        <f aca="false">VLOOKUP(G36, Reference!$F$4:$G$11, 2, FALSE())</f>
        <v>20</v>
      </c>
      <c r="L36" s="22" t="n">
        <f aca="false">J36+K36+IF(F36&gt;10000, WRuleAmt10k, 0)+IF(AND(F36&gt;=9000, F36&lt;=9999), WRuleStructure, 0)+IF(MOD(F36,1000)=0, WRuleRound, 0)+IF(OR(VALUE(LEFT(D36,2))&lt;7, VALUE(LEFT(D36,2))&gt;21), WRuleAfterHours, 0)+IF(WEEKDAY(C36,2)&gt;5, WRuleWeekend, 0)+IF(I36="Yes", WRulePEP, 0)+IF(COUNTIFS($C$5:$C$204,C36,$E$5:$E$204,E36)&gt;10, WRuleVelocity, 0)</f>
        <v>25</v>
      </c>
      <c r="M36" s="23" t="str">
        <f aca="false">IF(L36&gt;=SARThreshold,"REVIEW","OK")</f>
        <v>OK</v>
      </c>
    </row>
    <row r="37" customFormat="false" ht="15" hidden="false" customHeight="false" outlineLevel="0" collapsed="false">
      <c r="B37" s="17" t="s">
        <v>149</v>
      </c>
      <c r="C37" s="18" t="n">
        <v>46117</v>
      </c>
      <c r="D37" s="19" t="s">
        <v>150</v>
      </c>
      <c r="E37" s="17" t="s">
        <v>128</v>
      </c>
      <c r="F37" s="20" t="n">
        <v>1000</v>
      </c>
      <c r="G37" s="17" t="s">
        <v>12</v>
      </c>
      <c r="H37" s="17" t="s">
        <v>34</v>
      </c>
      <c r="I37" s="17" t="s">
        <v>67</v>
      </c>
      <c r="J37" s="21" t="n">
        <f aca="false">VLOOKUP(H37, Reference!$B$4:$D$24, 3, FALSE())</f>
        <v>30</v>
      </c>
      <c r="K37" s="21" t="n">
        <f aca="false">VLOOKUP(G37, Reference!$F$4:$G$11, 2, FALSE())</f>
        <v>10</v>
      </c>
      <c r="L37" s="22" t="n">
        <f aca="false">J37+K37+IF(F37&gt;10000, WRuleAmt10k, 0)+IF(AND(F37&gt;=9000, F37&lt;=9999), WRuleStructure, 0)+IF(MOD(F37,1000)=0, WRuleRound, 0)+IF(OR(VALUE(LEFT(D37,2))&lt;7, VALUE(LEFT(D37,2))&gt;21), WRuleAfterHours, 0)+IF(WEEKDAY(C37,2)&gt;5, WRuleWeekend, 0)+IF(I37="Yes", WRulePEP, 0)+IF(COUNTIFS($C$5:$C$204,C37,$E$5:$E$204,E37)&gt;10, WRuleVelocity, 0)</f>
        <v>58</v>
      </c>
      <c r="M37" s="23" t="str">
        <f aca="false">IF(L37&gt;=SARThreshold,"REVIEW","OK")</f>
        <v>OK</v>
      </c>
    </row>
    <row r="38" customFormat="false" ht="15" hidden="false" customHeight="false" outlineLevel="0" collapsed="false">
      <c r="B38" s="24" t="s">
        <v>151</v>
      </c>
      <c r="C38" s="25" t="n">
        <v>46131</v>
      </c>
      <c r="D38" s="26" t="s">
        <v>152</v>
      </c>
      <c r="E38" s="24" t="s">
        <v>70</v>
      </c>
      <c r="F38" s="27" t="n">
        <v>2270</v>
      </c>
      <c r="G38" s="24" t="s">
        <v>22</v>
      </c>
      <c r="H38" s="24" t="s">
        <v>15</v>
      </c>
      <c r="I38" s="24" t="s">
        <v>67</v>
      </c>
      <c r="J38" s="21" t="n">
        <f aca="false">VLOOKUP(H38, Reference!$B$4:$D$24, 3, FALSE())</f>
        <v>5</v>
      </c>
      <c r="K38" s="21" t="n">
        <f aca="false">VLOOKUP(G38, Reference!$F$4:$G$11, 2, FALSE())</f>
        <v>20</v>
      </c>
      <c r="L38" s="22" t="n">
        <f aca="false">J38+K38+IF(F38&gt;10000, WRuleAmt10k, 0)+IF(AND(F38&gt;=9000, F38&lt;=9999), WRuleStructure, 0)+IF(MOD(F38,1000)=0, WRuleRound, 0)+IF(OR(VALUE(LEFT(D38,2))&lt;7, VALUE(LEFT(D38,2))&gt;21), WRuleAfterHours, 0)+IF(WEEKDAY(C38,2)&gt;5, WRuleWeekend, 0)+IF(I38="Yes", WRulePEP, 0)+IF(COUNTIFS($C$5:$C$204,C38,$E$5:$E$204,E38)&gt;10, WRuleVelocity, 0)</f>
        <v>43</v>
      </c>
      <c r="M38" s="23" t="str">
        <f aca="false">IF(L38&gt;=SARThreshold,"REVIEW","OK")</f>
        <v>OK</v>
      </c>
    </row>
    <row r="39" customFormat="false" ht="15" hidden="false" customHeight="false" outlineLevel="0" collapsed="false">
      <c r="B39" s="17" t="s">
        <v>153</v>
      </c>
      <c r="C39" s="18" t="n">
        <v>46124</v>
      </c>
      <c r="D39" s="19" t="s">
        <v>154</v>
      </c>
      <c r="E39" s="17" t="s">
        <v>114</v>
      </c>
      <c r="F39" s="20" t="n">
        <v>5056</v>
      </c>
      <c r="G39" s="17" t="s">
        <v>12</v>
      </c>
      <c r="H39" s="17" t="s">
        <v>38</v>
      </c>
      <c r="I39" s="17" t="s">
        <v>67</v>
      </c>
      <c r="J39" s="21" t="n">
        <f aca="false">VLOOKUP(H39, Reference!$B$4:$D$24, 3, FALSE())</f>
        <v>30</v>
      </c>
      <c r="K39" s="21" t="n">
        <f aca="false">VLOOKUP(G39, Reference!$F$4:$G$11, 2, FALSE())</f>
        <v>10</v>
      </c>
      <c r="L39" s="22" t="n">
        <f aca="false">J39+K39+IF(F39&gt;10000, WRuleAmt10k, 0)+IF(AND(F39&gt;=9000, F39&lt;=9999), WRuleStructure, 0)+IF(MOD(F39,1000)=0, WRuleRound, 0)+IF(OR(VALUE(LEFT(D39,2))&lt;7, VALUE(LEFT(D39,2))&gt;21), WRuleAfterHours, 0)+IF(WEEKDAY(C39,2)&gt;5, WRuleWeekend, 0)+IF(I39="Yes", WRulePEP, 0)+IF(COUNTIFS($C$5:$C$204,C39,$E$5:$E$204,E39)&gt;10, WRuleVelocity, 0)</f>
        <v>48</v>
      </c>
      <c r="M39" s="23" t="str">
        <f aca="false">IF(L39&gt;=SARThreshold,"REVIEW","OK")</f>
        <v>OK</v>
      </c>
    </row>
    <row r="40" customFormat="false" ht="15" hidden="false" customHeight="false" outlineLevel="0" collapsed="false">
      <c r="B40" s="24" t="s">
        <v>155</v>
      </c>
      <c r="C40" s="25" t="n">
        <v>46134</v>
      </c>
      <c r="D40" s="26" t="s">
        <v>130</v>
      </c>
      <c r="E40" s="24" t="s">
        <v>95</v>
      </c>
      <c r="F40" s="27" t="n">
        <v>9109</v>
      </c>
      <c r="G40" s="24" t="s">
        <v>16</v>
      </c>
      <c r="H40" s="24" t="s">
        <v>27</v>
      </c>
      <c r="I40" s="24" t="s">
        <v>67</v>
      </c>
      <c r="J40" s="21" t="n">
        <f aca="false">VLOOKUP(H40, Reference!$B$4:$D$24, 3, FALSE())</f>
        <v>15</v>
      </c>
      <c r="K40" s="21" t="n">
        <f aca="false">VLOOKUP(G40, Reference!$F$4:$G$11, 2, FALSE())</f>
        <v>15</v>
      </c>
      <c r="L40" s="22" t="n">
        <f aca="false">J40+K40+IF(F40&gt;10000, WRuleAmt10k, 0)+IF(AND(F40&gt;=9000, F40&lt;=9999), WRuleStructure, 0)+IF(MOD(F40,1000)=0, WRuleRound, 0)+IF(OR(VALUE(LEFT(D40,2))&lt;7, VALUE(LEFT(D40,2))&gt;21), WRuleAfterHours, 0)+IF(WEEKDAY(C40,2)&gt;5, WRuleWeekend, 0)+IF(I40="Yes", WRulePEP, 0)+IF(COUNTIFS($C$5:$C$204,C40,$E$5:$E$204,E40)&gt;10, WRuleVelocity, 0)</f>
        <v>70</v>
      </c>
      <c r="M40" s="23" t="str">
        <f aca="false">IF(L40&gt;=SARThreshold,"REVIEW","OK")</f>
        <v>REVIEW</v>
      </c>
    </row>
    <row r="41" customFormat="false" ht="15" hidden="false" customHeight="false" outlineLevel="0" collapsed="false">
      <c r="B41" s="17" t="s">
        <v>156</v>
      </c>
      <c r="C41" s="18" t="n">
        <v>46119</v>
      </c>
      <c r="D41" s="19" t="s">
        <v>157</v>
      </c>
      <c r="E41" s="17" t="s">
        <v>104</v>
      </c>
      <c r="F41" s="20" t="n">
        <v>4425</v>
      </c>
      <c r="G41" s="17" t="s">
        <v>26</v>
      </c>
      <c r="H41" s="17" t="s">
        <v>27</v>
      </c>
      <c r="I41" s="17" t="s">
        <v>67</v>
      </c>
      <c r="J41" s="21" t="n">
        <f aca="false">VLOOKUP(H41, Reference!$B$4:$D$24, 3, FALSE())</f>
        <v>15</v>
      </c>
      <c r="K41" s="21" t="n">
        <f aca="false">VLOOKUP(G41, Reference!$F$4:$G$11, 2, FALSE())</f>
        <v>20</v>
      </c>
      <c r="L41" s="22" t="n">
        <f aca="false">J41+K41+IF(F41&gt;10000, WRuleAmt10k, 0)+IF(AND(F41&gt;=9000, F41&lt;=9999), WRuleStructure, 0)+IF(MOD(F41,1000)=0, WRuleRound, 0)+IF(OR(VALUE(LEFT(D41,2))&lt;7, VALUE(LEFT(D41,2))&gt;21), WRuleAfterHours, 0)+IF(WEEKDAY(C41,2)&gt;5, WRuleWeekend, 0)+IF(I41="Yes", WRulePEP, 0)+IF(COUNTIFS($C$5:$C$204,C41,$E$5:$E$204,E41)&gt;10, WRuleVelocity, 0)</f>
        <v>45</v>
      </c>
      <c r="M41" s="23" t="str">
        <f aca="false">IF(L41&gt;=SARThreshold,"REVIEW","OK")</f>
        <v>OK</v>
      </c>
    </row>
    <row r="42" customFormat="false" ht="15" hidden="false" customHeight="false" outlineLevel="0" collapsed="false">
      <c r="B42" s="24" t="s">
        <v>158</v>
      </c>
      <c r="C42" s="25" t="n">
        <v>46140</v>
      </c>
      <c r="D42" s="26" t="s">
        <v>159</v>
      </c>
      <c r="E42" s="24" t="s">
        <v>114</v>
      </c>
      <c r="F42" s="27" t="n">
        <v>1000</v>
      </c>
      <c r="G42" s="24" t="s">
        <v>22</v>
      </c>
      <c r="H42" s="24" t="s">
        <v>19</v>
      </c>
      <c r="I42" s="24" t="s">
        <v>67</v>
      </c>
      <c r="J42" s="21" t="n">
        <f aca="false">VLOOKUP(H42, Reference!$B$4:$D$24, 3, FALSE())</f>
        <v>5</v>
      </c>
      <c r="K42" s="21" t="n">
        <f aca="false">VLOOKUP(G42, Reference!$F$4:$G$11, 2, FALSE())</f>
        <v>20</v>
      </c>
      <c r="L42" s="22" t="n">
        <f aca="false">J42+K42+IF(F42&gt;10000, WRuleAmt10k, 0)+IF(AND(F42&gt;=9000, F42&lt;=9999), WRuleStructure, 0)+IF(MOD(F42,1000)=0, WRuleRound, 0)+IF(OR(VALUE(LEFT(D42,2))&lt;7, VALUE(LEFT(D42,2))&gt;21), WRuleAfterHours, 0)+IF(WEEKDAY(C42,2)&gt;5, WRuleWeekend, 0)+IF(I42="Yes", WRulePEP, 0)+IF(COUNTIFS($C$5:$C$204,C42,$E$5:$E$204,E42)&gt;10, WRuleVelocity, 0)</f>
        <v>45</v>
      </c>
      <c r="M42" s="23" t="str">
        <f aca="false">IF(L42&gt;=SARThreshold,"REVIEW","OK")</f>
        <v>OK</v>
      </c>
    </row>
    <row r="43" customFormat="false" ht="15" hidden="false" customHeight="false" outlineLevel="0" collapsed="false">
      <c r="B43" s="17" t="s">
        <v>160</v>
      </c>
      <c r="C43" s="18" t="n">
        <v>46121</v>
      </c>
      <c r="D43" s="19" t="s">
        <v>161</v>
      </c>
      <c r="E43" s="17" t="s">
        <v>162</v>
      </c>
      <c r="F43" s="20" t="n">
        <v>258</v>
      </c>
      <c r="G43" s="17" t="s">
        <v>14</v>
      </c>
      <c r="H43" s="17" t="s">
        <v>15</v>
      </c>
      <c r="I43" s="17" t="s">
        <v>67</v>
      </c>
      <c r="J43" s="21" t="n">
        <f aca="false">VLOOKUP(H43, Reference!$B$4:$D$24, 3, FALSE())</f>
        <v>5</v>
      </c>
      <c r="K43" s="21" t="n">
        <f aca="false">VLOOKUP(G43, Reference!$F$4:$G$11, 2, FALSE())</f>
        <v>15</v>
      </c>
      <c r="L43" s="22" t="n">
        <f aca="false">J43+K43+IF(F43&gt;10000, WRuleAmt10k, 0)+IF(AND(F43&gt;=9000, F43&lt;=9999), WRuleStructure, 0)+IF(MOD(F43,1000)=0, WRuleRound, 0)+IF(OR(VALUE(LEFT(D43,2))&lt;7, VALUE(LEFT(D43,2))&gt;21), WRuleAfterHours, 0)+IF(WEEKDAY(C43,2)&gt;5, WRuleWeekend, 0)+IF(I43="Yes", WRulePEP, 0)+IF(COUNTIFS($C$5:$C$204,C43,$E$5:$E$204,E43)&gt;10, WRuleVelocity, 0)</f>
        <v>30</v>
      </c>
      <c r="M43" s="23" t="str">
        <f aca="false">IF(L43&gt;=SARThreshold,"REVIEW","OK")</f>
        <v>OK</v>
      </c>
    </row>
    <row r="44" customFormat="false" ht="15" hidden="false" customHeight="false" outlineLevel="0" collapsed="false">
      <c r="B44" s="24" t="s">
        <v>163</v>
      </c>
      <c r="C44" s="25" t="n">
        <v>46135</v>
      </c>
      <c r="D44" s="26" t="s">
        <v>164</v>
      </c>
      <c r="E44" s="24" t="s">
        <v>114</v>
      </c>
      <c r="F44" s="27" t="n">
        <v>2000</v>
      </c>
      <c r="G44" s="24" t="s">
        <v>24</v>
      </c>
      <c r="H44" s="24" t="s">
        <v>19</v>
      </c>
      <c r="I44" s="24" t="s">
        <v>79</v>
      </c>
      <c r="J44" s="21" t="n">
        <f aca="false">VLOOKUP(H44, Reference!$B$4:$D$24, 3, FALSE())</f>
        <v>5</v>
      </c>
      <c r="K44" s="21" t="n">
        <f aca="false">VLOOKUP(G44, Reference!$F$4:$G$11, 2, FALSE())</f>
        <v>25</v>
      </c>
      <c r="L44" s="22" t="n">
        <f aca="false">J44+K44+IF(F44&gt;10000, WRuleAmt10k, 0)+IF(AND(F44&gt;=9000, F44&lt;=9999), WRuleStructure, 0)+IF(MOD(F44,1000)=0, WRuleRound, 0)+IF(OR(VALUE(LEFT(D44,2))&lt;7, VALUE(LEFT(D44,2))&gt;21), WRuleAfterHours, 0)+IF(WEEKDAY(C44,2)&gt;5, WRuleWeekend, 0)+IF(I44="Yes", WRulePEP, 0)+IF(COUNTIFS($C$5:$C$204,C44,$E$5:$E$204,E44)&gt;10, WRuleVelocity, 0)</f>
        <v>75</v>
      </c>
      <c r="M44" s="23" t="str">
        <f aca="false">IF(L44&gt;=SARThreshold,"REVIEW","OK")</f>
        <v>REVIEW</v>
      </c>
    </row>
    <row r="45" customFormat="false" ht="15" hidden="false" customHeight="false" outlineLevel="0" collapsed="false">
      <c r="B45" s="17" t="s">
        <v>165</v>
      </c>
      <c r="C45" s="18" t="n">
        <v>46124</v>
      </c>
      <c r="D45" s="19" t="s">
        <v>166</v>
      </c>
      <c r="E45" s="17" t="s">
        <v>70</v>
      </c>
      <c r="F45" s="20" t="n">
        <v>1784</v>
      </c>
      <c r="G45" s="17" t="s">
        <v>22</v>
      </c>
      <c r="H45" s="17" t="s">
        <v>38</v>
      </c>
      <c r="I45" s="17" t="s">
        <v>67</v>
      </c>
      <c r="J45" s="21" t="n">
        <f aca="false">VLOOKUP(H45, Reference!$B$4:$D$24, 3, FALSE())</f>
        <v>30</v>
      </c>
      <c r="K45" s="21" t="n">
        <f aca="false">VLOOKUP(G45, Reference!$F$4:$G$11, 2, FALSE())</f>
        <v>20</v>
      </c>
      <c r="L45" s="22" t="n">
        <f aca="false">J45+K45+IF(F45&gt;10000, WRuleAmt10k, 0)+IF(AND(F45&gt;=9000, F45&lt;=9999), WRuleStructure, 0)+IF(MOD(F45,1000)=0, WRuleRound, 0)+IF(OR(VALUE(LEFT(D45,2))&lt;7, VALUE(LEFT(D45,2))&gt;21), WRuleAfterHours, 0)+IF(WEEKDAY(C45,2)&gt;5, WRuleWeekend, 0)+IF(I45="Yes", WRulePEP, 0)+IF(COUNTIFS($C$5:$C$204,C45,$E$5:$E$204,E45)&gt;10, WRuleVelocity, 0)</f>
        <v>68</v>
      </c>
      <c r="M45" s="23" t="str">
        <f aca="false">IF(L45&gt;=SARThreshold,"REVIEW","OK")</f>
        <v>REVIEW</v>
      </c>
    </row>
    <row r="46" customFormat="false" ht="15" hidden="false" customHeight="false" outlineLevel="0" collapsed="false">
      <c r="B46" s="24" t="s">
        <v>167</v>
      </c>
      <c r="C46" s="25" t="n">
        <v>46126</v>
      </c>
      <c r="D46" s="26" t="s">
        <v>168</v>
      </c>
      <c r="E46" s="24" t="s">
        <v>92</v>
      </c>
      <c r="F46" s="27" t="n">
        <v>2762</v>
      </c>
      <c r="G46" s="24" t="s">
        <v>16</v>
      </c>
      <c r="H46" s="24" t="s">
        <v>33</v>
      </c>
      <c r="I46" s="24" t="s">
        <v>79</v>
      </c>
      <c r="J46" s="21" t="n">
        <f aca="false">VLOOKUP(H46, Reference!$B$4:$D$24, 3, FALSE())</f>
        <v>15</v>
      </c>
      <c r="K46" s="21" t="n">
        <f aca="false">VLOOKUP(G46, Reference!$F$4:$G$11, 2, FALSE())</f>
        <v>15</v>
      </c>
      <c r="L46" s="22" t="n">
        <f aca="false">J46+K46+IF(F46&gt;10000, WRuleAmt10k, 0)+IF(AND(F46&gt;=9000, F46&lt;=9999), WRuleStructure, 0)+IF(MOD(F46,1000)=0, WRuleRound, 0)+IF(OR(VALUE(LEFT(D46,2))&lt;7, VALUE(LEFT(D46,2))&gt;21), WRuleAfterHours, 0)+IF(WEEKDAY(C46,2)&gt;5, WRuleWeekend, 0)+IF(I46="Yes", WRulePEP, 0)+IF(COUNTIFS($C$5:$C$204,C46,$E$5:$E$204,E46)&gt;10, WRuleVelocity, 0)</f>
        <v>55</v>
      </c>
      <c r="M46" s="23" t="str">
        <f aca="false">IF(L46&gt;=SARThreshold,"REVIEW","OK")</f>
        <v>OK</v>
      </c>
    </row>
    <row r="47" customFormat="false" ht="15" hidden="false" customHeight="false" outlineLevel="0" collapsed="false">
      <c r="B47" s="17" t="s">
        <v>169</v>
      </c>
      <c r="C47" s="18" t="n">
        <v>46136</v>
      </c>
      <c r="D47" s="19" t="s">
        <v>170</v>
      </c>
      <c r="E47" s="17" t="s">
        <v>78</v>
      </c>
      <c r="F47" s="20" t="n">
        <v>4165</v>
      </c>
      <c r="G47" s="17" t="s">
        <v>20</v>
      </c>
      <c r="H47" s="17" t="s">
        <v>21</v>
      </c>
      <c r="I47" s="17" t="s">
        <v>67</v>
      </c>
      <c r="J47" s="21" t="n">
        <f aca="false">VLOOKUP(H47, Reference!$B$4:$D$24, 3, FALSE())</f>
        <v>5</v>
      </c>
      <c r="K47" s="21" t="n">
        <f aca="false">VLOOKUP(G47, Reference!$F$4:$G$11, 2, FALSE())</f>
        <v>5</v>
      </c>
      <c r="L47" s="22" t="n">
        <f aca="false">J47+K47+IF(F47&gt;10000, WRuleAmt10k, 0)+IF(AND(F47&gt;=9000, F47&lt;=9999), WRuleStructure, 0)+IF(MOD(F47,1000)=0, WRuleRound, 0)+IF(OR(VALUE(LEFT(D47,2))&lt;7, VALUE(LEFT(D47,2))&gt;21), WRuleAfterHours, 0)+IF(WEEKDAY(C47,2)&gt;5, WRuleWeekend, 0)+IF(I47="Yes", WRulePEP, 0)+IF(COUNTIFS($C$5:$C$204,C47,$E$5:$E$204,E47)&gt;10, WRuleVelocity, 0)</f>
        <v>10</v>
      </c>
      <c r="M47" s="23" t="str">
        <f aca="false">IF(L47&gt;=SARThreshold,"REVIEW","OK")</f>
        <v>OK</v>
      </c>
    </row>
    <row r="48" customFormat="false" ht="15" hidden="false" customHeight="false" outlineLevel="0" collapsed="false">
      <c r="B48" s="24" t="s">
        <v>171</v>
      </c>
      <c r="C48" s="25" t="n">
        <v>46116</v>
      </c>
      <c r="D48" s="26" t="s">
        <v>172</v>
      </c>
      <c r="E48" s="24" t="s">
        <v>117</v>
      </c>
      <c r="F48" s="27" t="n">
        <v>3369</v>
      </c>
      <c r="G48" s="24" t="s">
        <v>26</v>
      </c>
      <c r="H48" s="24" t="s">
        <v>31</v>
      </c>
      <c r="I48" s="24" t="s">
        <v>67</v>
      </c>
      <c r="J48" s="21" t="n">
        <f aca="false">VLOOKUP(H48, Reference!$B$4:$D$24, 3, FALSE())</f>
        <v>15</v>
      </c>
      <c r="K48" s="21" t="n">
        <f aca="false">VLOOKUP(G48, Reference!$F$4:$G$11, 2, FALSE())</f>
        <v>20</v>
      </c>
      <c r="L48" s="22" t="n">
        <f aca="false">J48+K48+IF(F48&gt;10000, WRuleAmt10k, 0)+IF(AND(F48&gt;=9000, F48&lt;=9999), WRuleStructure, 0)+IF(MOD(F48,1000)=0, WRuleRound, 0)+IF(OR(VALUE(LEFT(D48,2))&lt;7, VALUE(LEFT(D48,2))&gt;21), WRuleAfterHours, 0)+IF(WEEKDAY(C48,2)&gt;5, WRuleWeekend, 0)+IF(I48="Yes", WRulePEP, 0)+IF(COUNTIFS($C$5:$C$204,C48,$E$5:$E$204,E48)&gt;10, WRuleVelocity, 0)</f>
        <v>43</v>
      </c>
      <c r="M48" s="23" t="str">
        <f aca="false">IF(L48&gt;=SARThreshold,"REVIEW","OK")</f>
        <v>OK</v>
      </c>
    </row>
    <row r="49" customFormat="false" ht="15" hidden="false" customHeight="false" outlineLevel="0" collapsed="false">
      <c r="B49" s="17" t="s">
        <v>173</v>
      </c>
      <c r="C49" s="18" t="n">
        <v>46138</v>
      </c>
      <c r="D49" s="19" t="s">
        <v>84</v>
      </c>
      <c r="E49" s="17" t="s">
        <v>104</v>
      </c>
      <c r="F49" s="20" t="n">
        <v>9336</v>
      </c>
      <c r="G49" s="17" t="s">
        <v>20</v>
      </c>
      <c r="H49" s="17" t="s">
        <v>15</v>
      </c>
      <c r="I49" s="17" t="s">
        <v>67</v>
      </c>
      <c r="J49" s="21" t="n">
        <f aca="false">VLOOKUP(H49, Reference!$B$4:$D$24, 3, FALSE())</f>
        <v>5</v>
      </c>
      <c r="K49" s="21" t="n">
        <f aca="false">VLOOKUP(G49, Reference!$F$4:$G$11, 2, FALSE())</f>
        <v>5</v>
      </c>
      <c r="L49" s="22" t="n">
        <f aca="false">J49+K49+IF(F49&gt;10000, WRuleAmt10k, 0)+IF(AND(F49&gt;=9000, F49&lt;=9999), WRuleStructure, 0)+IF(MOD(F49,1000)=0, WRuleRound, 0)+IF(OR(VALUE(LEFT(D49,2))&lt;7, VALUE(LEFT(D49,2))&gt;21), WRuleAfterHours, 0)+IF(WEEKDAY(C49,2)&gt;5, WRuleWeekend, 0)+IF(I49="Yes", WRulePEP, 0)+IF(COUNTIFS($C$5:$C$204,C49,$E$5:$E$204,E49)&gt;10, WRuleVelocity, 0)</f>
        <v>48</v>
      </c>
      <c r="M49" s="23" t="str">
        <f aca="false">IF(L49&gt;=SARThreshold,"REVIEW","OK")</f>
        <v>OK</v>
      </c>
    </row>
    <row r="50" customFormat="false" ht="15" hidden="false" customHeight="false" outlineLevel="0" collapsed="false">
      <c r="B50" s="24" t="s">
        <v>174</v>
      </c>
      <c r="C50" s="25" t="n">
        <v>46121</v>
      </c>
      <c r="D50" s="26" t="s">
        <v>175</v>
      </c>
      <c r="E50" s="24" t="s">
        <v>85</v>
      </c>
      <c r="F50" s="27" t="n">
        <v>8885</v>
      </c>
      <c r="G50" s="24" t="s">
        <v>22</v>
      </c>
      <c r="H50" s="24" t="s">
        <v>10</v>
      </c>
      <c r="I50" s="24" t="s">
        <v>67</v>
      </c>
      <c r="J50" s="21" t="n">
        <f aca="false">VLOOKUP(H50, Reference!$B$4:$D$24, 3, FALSE())</f>
        <v>5</v>
      </c>
      <c r="K50" s="21" t="n">
        <f aca="false">VLOOKUP(G50, Reference!$F$4:$G$11, 2, FALSE())</f>
        <v>20</v>
      </c>
      <c r="L50" s="22" t="n">
        <f aca="false">J50+K50+IF(F50&gt;10000, WRuleAmt10k, 0)+IF(AND(F50&gt;=9000, F50&lt;=9999), WRuleStructure, 0)+IF(MOD(F50,1000)=0, WRuleRound, 0)+IF(OR(VALUE(LEFT(D50,2))&lt;7, VALUE(LEFT(D50,2))&gt;21), WRuleAfterHours, 0)+IF(WEEKDAY(C50,2)&gt;5, WRuleWeekend, 0)+IF(I50="Yes", WRulePEP, 0)+IF(COUNTIFS($C$5:$C$204,C50,$E$5:$E$204,E50)&gt;10, WRuleVelocity, 0)</f>
        <v>25</v>
      </c>
      <c r="M50" s="23" t="str">
        <f aca="false">IF(L50&gt;=SARThreshold,"REVIEW","OK")</f>
        <v>OK</v>
      </c>
    </row>
    <row r="51" customFormat="false" ht="15" hidden="false" customHeight="false" outlineLevel="0" collapsed="false">
      <c r="B51" s="17" t="s">
        <v>176</v>
      </c>
      <c r="C51" s="18" t="n">
        <v>46121</v>
      </c>
      <c r="D51" s="19" t="s">
        <v>177</v>
      </c>
      <c r="E51" s="17" t="s">
        <v>142</v>
      </c>
      <c r="F51" s="20" t="n">
        <v>9444</v>
      </c>
      <c r="G51" s="17" t="s">
        <v>22</v>
      </c>
      <c r="H51" s="17" t="s">
        <v>30</v>
      </c>
      <c r="I51" s="17" t="s">
        <v>67</v>
      </c>
      <c r="J51" s="21" t="n">
        <f aca="false">VLOOKUP(H51, Reference!$B$4:$D$24, 3, FALSE())</f>
        <v>15</v>
      </c>
      <c r="K51" s="21" t="n">
        <f aca="false">VLOOKUP(G51, Reference!$F$4:$G$11, 2, FALSE())</f>
        <v>20</v>
      </c>
      <c r="L51" s="22" t="n">
        <f aca="false">J51+K51+IF(F51&gt;10000, WRuleAmt10k, 0)+IF(AND(F51&gt;=9000, F51&lt;=9999), WRuleStructure, 0)+IF(MOD(F51,1000)=0, WRuleRound, 0)+IF(OR(VALUE(LEFT(D51,2))&lt;7, VALUE(LEFT(D51,2))&gt;21), WRuleAfterHours, 0)+IF(WEEKDAY(C51,2)&gt;5, WRuleWeekend, 0)+IF(I51="Yes", WRulePEP, 0)+IF(COUNTIFS($C$5:$C$204,C51,$E$5:$E$204,E51)&gt;10, WRuleVelocity, 0)</f>
        <v>75</v>
      </c>
      <c r="M51" s="23" t="str">
        <f aca="false">IF(L51&gt;=SARThreshold,"REVIEW","OK")</f>
        <v>REVIEW</v>
      </c>
    </row>
    <row r="52" customFormat="false" ht="15" hidden="false" customHeight="false" outlineLevel="0" collapsed="false">
      <c r="B52" s="24" t="s">
        <v>178</v>
      </c>
      <c r="C52" s="25" t="n">
        <v>46129</v>
      </c>
      <c r="D52" s="26" t="s">
        <v>179</v>
      </c>
      <c r="E52" s="24" t="s">
        <v>70</v>
      </c>
      <c r="F52" s="27" t="n">
        <v>3000</v>
      </c>
      <c r="G52" s="24" t="s">
        <v>12</v>
      </c>
      <c r="H52" s="24" t="s">
        <v>37</v>
      </c>
      <c r="I52" s="24" t="s">
        <v>67</v>
      </c>
      <c r="J52" s="21" t="n">
        <f aca="false">VLOOKUP(H52, Reference!$B$4:$D$24, 3, FALSE())</f>
        <v>30</v>
      </c>
      <c r="K52" s="21" t="n">
        <f aca="false">VLOOKUP(G52, Reference!$F$4:$G$11, 2, FALSE())</f>
        <v>10</v>
      </c>
      <c r="L52" s="22" t="n">
        <f aca="false">J52+K52+IF(F52&gt;10000, WRuleAmt10k, 0)+IF(AND(F52&gt;=9000, F52&lt;=9999), WRuleStructure, 0)+IF(MOD(F52,1000)=0, WRuleRound, 0)+IF(OR(VALUE(LEFT(D52,2))&lt;7, VALUE(LEFT(D52,2))&gt;21), WRuleAfterHours, 0)+IF(WEEKDAY(C52,2)&gt;5, WRuleWeekend, 0)+IF(I52="Yes", WRulePEP, 0)+IF(COUNTIFS($C$5:$C$204,C52,$E$5:$E$204,E52)&gt;10, WRuleVelocity, 0)</f>
        <v>60</v>
      </c>
      <c r="M52" s="23" t="str">
        <f aca="false">IF(L52&gt;=SARThreshold,"REVIEW","OK")</f>
        <v>REVIEW</v>
      </c>
    </row>
    <row r="53" customFormat="false" ht="15" hidden="false" customHeight="false" outlineLevel="0" collapsed="false">
      <c r="B53" s="17" t="s">
        <v>180</v>
      </c>
      <c r="C53" s="18" t="n">
        <v>46130</v>
      </c>
      <c r="D53" s="19" t="s">
        <v>181</v>
      </c>
      <c r="E53" s="17" t="s">
        <v>182</v>
      </c>
      <c r="F53" s="20" t="n">
        <v>5000</v>
      </c>
      <c r="G53" s="17" t="s">
        <v>22</v>
      </c>
      <c r="H53" s="17" t="s">
        <v>17</v>
      </c>
      <c r="I53" s="17" t="s">
        <v>67</v>
      </c>
      <c r="J53" s="21" t="n">
        <f aca="false">VLOOKUP(H53, Reference!$B$4:$D$24, 3, FALSE())</f>
        <v>5</v>
      </c>
      <c r="K53" s="21" t="n">
        <f aca="false">VLOOKUP(G53, Reference!$F$4:$G$11, 2, FALSE())</f>
        <v>20</v>
      </c>
      <c r="L53" s="22" t="n">
        <f aca="false">J53+K53+IF(F53&gt;10000, WRuleAmt10k, 0)+IF(AND(F53&gt;=9000, F53&lt;=9999), WRuleStructure, 0)+IF(MOD(F53,1000)=0, WRuleRound, 0)+IF(OR(VALUE(LEFT(D53,2))&lt;7, VALUE(LEFT(D53,2))&gt;21), WRuleAfterHours, 0)+IF(WEEKDAY(C53,2)&gt;5, WRuleWeekend, 0)+IF(I53="Yes", WRulePEP, 0)+IF(COUNTIFS($C$5:$C$204,C53,$E$5:$E$204,E53)&gt;10, WRuleVelocity, 0)</f>
        <v>43</v>
      </c>
      <c r="M53" s="23" t="str">
        <f aca="false">IF(L53&gt;=SARThreshold,"REVIEW","OK")</f>
        <v>OK</v>
      </c>
    </row>
    <row r="54" customFormat="false" ht="15" hidden="false" customHeight="false" outlineLevel="0" collapsed="false">
      <c r="B54" s="24" t="s">
        <v>183</v>
      </c>
      <c r="C54" s="25" t="n">
        <v>46122</v>
      </c>
      <c r="D54" s="26" t="s">
        <v>184</v>
      </c>
      <c r="E54" s="24" t="s">
        <v>148</v>
      </c>
      <c r="F54" s="27" t="n">
        <v>5000</v>
      </c>
      <c r="G54" s="24" t="s">
        <v>16</v>
      </c>
      <c r="H54" s="24" t="s">
        <v>23</v>
      </c>
      <c r="I54" s="24" t="s">
        <v>67</v>
      </c>
      <c r="J54" s="21" t="n">
        <f aca="false">VLOOKUP(H54, Reference!$B$4:$D$24, 3, FALSE())</f>
        <v>5</v>
      </c>
      <c r="K54" s="21" t="n">
        <f aca="false">VLOOKUP(G54, Reference!$F$4:$G$11, 2, FALSE())</f>
        <v>15</v>
      </c>
      <c r="L54" s="22" t="n">
        <f aca="false">J54+K54+IF(F54&gt;10000, WRuleAmt10k, 0)+IF(AND(F54&gt;=9000, F54&lt;=9999), WRuleStructure, 0)+IF(MOD(F54,1000)=0, WRuleRound, 0)+IF(OR(VALUE(LEFT(D54,2))&lt;7, VALUE(LEFT(D54,2))&gt;21), WRuleAfterHours, 0)+IF(WEEKDAY(C54,2)&gt;5, WRuleWeekend, 0)+IF(I54="Yes", WRulePEP, 0)+IF(COUNTIFS($C$5:$C$204,C54,$E$5:$E$204,E54)&gt;10, WRuleVelocity, 0)</f>
        <v>30</v>
      </c>
      <c r="M54" s="23" t="str">
        <f aca="false">IF(L54&gt;=SARThreshold,"REVIEW","OK")</f>
        <v>OK</v>
      </c>
    </row>
    <row r="55" customFormat="false" ht="15" hidden="false" customHeight="false" outlineLevel="0" collapsed="false">
      <c r="B55" s="17" t="s">
        <v>185</v>
      </c>
      <c r="C55" s="18" t="n">
        <v>46125</v>
      </c>
      <c r="D55" s="19" t="s">
        <v>181</v>
      </c>
      <c r="E55" s="17" t="s">
        <v>88</v>
      </c>
      <c r="F55" s="20" t="n">
        <v>6753</v>
      </c>
      <c r="G55" s="17" t="s">
        <v>12</v>
      </c>
      <c r="H55" s="17" t="s">
        <v>29</v>
      </c>
      <c r="I55" s="17" t="s">
        <v>67</v>
      </c>
      <c r="J55" s="21" t="n">
        <f aca="false">VLOOKUP(H55, Reference!$B$4:$D$24, 3, FALSE())</f>
        <v>15</v>
      </c>
      <c r="K55" s="21" t="n">
        <f aca="false">VLOOKUP(G55, Reference!$F$4:$G$11, 2, FALSE())</f>
        <v>10</v>
      </c>
      <c r="L55" s="22" t="n">
        <f aca="false">J55+K55+IF(F55&gt;10000, WRuleAmt10k, 0)+IF(AND(F55&gt;=9000, F55&lt;=9999), WRuleStructure, 0)+IF(MOD(F55,1000)=0, WRuleRound, 0)+IF(OR(VALUE(LEFT(D55,2))&lt;7, VALUE(LEFT(D55,2))&gt;21), WRuleAfterHours, 0)+IF(WEEKDAY(C55,2)&gt;5, WRuleWeekend, 0)+IF(I55="Yes", WRulePEP, 0)+IF(COUNTIFS($C$5:$C$204,C55,$E$5:$E$204,E55)&gt;10, WRuleVelocity, 0)</f>
        <v>25</v>
      </c>
      <c r="M55" s="23" t="str">
        <f aca="false">IF(L55&gt;=SARThreshold,"REVIEW","OK")</f>
        <v>OK</v>
      </c>
    </row>
    <row r="56" customFormat="false" ht="15" hidden="false" customHeight="false" outlineLevel="0" collapsed="false">
      <c r="B56" s="24" t="s">
        <v>186</v>
      </c>
      <c r="C56" s="25" t="n">
        <v>46126</v>
      </c>
      <c r="D56" s="26" t="s">
        <v>187</v>
      </c>
      <c r="E56" s="24" t="s">
        <v>128</v>
      </c>
      <c r="F56" s="27" t="n">
        <v>2000</v>
      </c>
      <c r="G56" s="24" t="s">
        <v>26</v>
      </c>
      <c r="H56" s="24" t="s">
        <v>21</v>
      </c>
      <c r="I56" s="24" t="s">
        <v>67</v>
      </c>
      <c r="J56" s="21" t="n">
        <f aca="false">VLOOKUP(H56, Reference!$B$4:$D$24, 3, FALSE())</f>
        <v>5</v>
      </c>
      <c r="K56" s="21" t="n">
        <f aca="false">VLOOKUP(G56, Reference!$F$4:$G$11, 2, FALSE())</f>
        <v>20</v>
      </c>
      <c r="L56" s="22" t="n">
        <f aca="false">J56+K56+IF(F56&gt;10000, WRuleAmt10k, 0)+IF(AND(F56&gt;=9000, F56&lt;=9999), WRuleStructure, 0)+IF(MOD(F56,1000)=0, WRuleRound, 0)+IF(OR(VALUE(LEFT(D56,2))&lt;7, VALUE(LEFT(D56,2))&gt;21), WRuleAfterHours, 0)+IF(WEEKDAY(C56,2)&gt;5, WRuleWeekend, 0)+IF(I56="Yes", WRulePEP, 0)+IF(COUNTIFS($C$5:$C$204,C56,$E$5:$E$204,E56)&gt;10, WRuleVelocity, 0)</f>
        <v>35</v>
      </c>
      <c r="M56" s="23" t="str">
        <f aca="false">IF(L56&gt;=SARThreshold,"REVIEW","OK")</f>
        <v>OK</v>
      </c>
    </row>
    <row r="57" customFormat="false" ht="15" hidden="false" customHeight="false" outlineLevel="0" collapsed="false">
      <c r="B57" s="17" t="s">
        <v>188</v>
      </c>
      <c r="C57" s="18" t="n">
        <v>46122</v>
      </c>
      <c r="D57" s="19" t="s">
        <v>189</v>
      </c>
      <c r="E57" s="17" t="s">
        <v>148</v>
      </c>
      <c r="F57" s="20" t="n">
        <v>15000</v>
      </c>
      <c r="G57" s="17" t="s">
        <v>20</v>
      </c>
      <c r="H57" s="17" t="s">
        <v>25</v>
      </c>
      <c r="I57" s="17" t="s">
        <v>67</v>
      </c>
      <c r="J57" s="21" t="n">
        <f aca="false">VLOOKUP(H57, Reference!$B$4:$D$24, 3, FALSE())</f>
        <v>5</v>
      </c>
      <c r="K57" s="21" t="n">
        <f aca="false">VLOOKUP(G57, Reference!$F$4:$G$11, 2, FALSE())</f>
        <v>5</v>
      </c>
      <c r="L57" s="22" t="n">
        <f aca="false">J57+K57+IF(F57&gt;10000, WRuleAmt10k, 0)+IF(AND(F57&gt;=9000, F57&lt;=9999), WRuleStructure, 0)+IF(MOD(F57,1000)=0, WRuleRound, 0)+IF(OR(VALUE(LEFT(D57,2))&lt;7, VALUE(LEFT(D57,2))&gt;21), WRuleAfterHours, 0)+IF(WEEKDAY(C57,2)&gt;5, WRuleWeekend, 0)+IF(I57="Yes", WRulePEP, 0)+IF(COUNTIFS($C$5:$C$204,C57,$E$5:$E$204,E57)&gt;10, WRuleVelocity, 0)</f>
        <v>45</v>
      </c>
      <c r="M57" s="23" t="str">
        <f aca="false">IF(L57&gt;=SARThreshold,"REVIEW","OK")</f>
        <v>OK</v>
      </c>
    </row>
    <row r="58" customFormat="false" ht="15" hidden="false" customHeight="false" outlineLevel="0" collapsed="false">
      <c r="B58" s="24" t="s">
        <v>190</v>
      </c>
      <c r="C58" s="25" t="n">
        <v>46117</v>
      </c>
      <c r="D58" s="26" t="s">
        <v>191</v>
      </c>
      <c r="E58" s="24" t="s">
        <v>136</v>
      </c>
      <c r="F58" s="27" t="n">
        <v>1293</v>
      </c>
      <c r="G58" s="24" t="s">
        <v>26</v>
      </c>
      <c r="H58" s="24" t="s">
        <v>33</v>
      </c>
      <c r="I58" s="24" t="s">
        <v>67</v>
      </c>
      <c r="J58" s="21" t="n">
        <f aca="false">VLOOKUP(H58, Reference!$B$4:$D$24, 3, FALSE())</f>
        <v>15</v>
      </c>
      <c r="K58" s="21" t="n">
        <f aca="false">VLOOKUP(G58, Reference!$F$4:$G$11, 2, FALSE())</f>
        <v>20</v>
      </c>
      <c r="L58" s="22" t="n">
        <f aca="false">J58+K58+IF(F58&gt;10000, WRuleAmt10k, 0)+IF(AND(F58&gt;=9000, F58&lt;=9999), WRuleStructure, 0)+IF(MOD(F58,1000)=0, WRuleRound, 0)+IF(OR(VALUE(LEFT(D58,2))&lt;7, VALUE(LEFT(D58,2))&gt;21), WRuleAfterHours, 0)+IF(WEEKDAY(C58,2)&gt;5, WRuleWeekend, 0)+IF(I58="Yes", WRulePEP, 0)+IF(COUNTIFS($C$5:$C$204,C58,$E$5:$E$204,E58)&gt;10, WRuleVelocity, 0)</f>
        <v>53</v>
      </c>
      <c r="M58" s="23" t="str">
        <f aca="false">IF(L58&gt;=SARThreshold,"REVIEW","OK")</f>
        <v>OK</v>
      </c>
    </row>
    <row r="59" customFormat="false" ht="15" hidden="false" customHeight="false" outlineLevel="0" collapsed="false">
      <c r="B59" s="17" t="s">
        <v>192</v>
      </c>
      <c r="C59" s="18" t="n">
        <v>46131</v>
      </c>
      <c r="D59" s="19" t="s">
        <v>193</v>
      </c>
      <c r="E59" s="17" t="s">
        <v>136</v>
      </c>
      <c r="F59" s="20" t="n">
        <v>2000</v>
      </c>
      <c r="G59" s="17" t="s">
        <v>12</v>
      </c>
      <c r="H59" s="17" t="s">
        <v>17</v>
      </c>
      <c r="I59" s="17" t="s">
        <v>67</v>
      </c>
      <c r="J59" s="21" t="n">
        <f aca="false">VLOOKUP(H59, Reference!$B$4:$D$24, 3, FALSE())</f>
        <v>5</v>
      </c>
      <c r="K59" s="21" t="n">
        <f aca="false">VLOOKUP(G59, Reference!$F$4:$G$11, 2, FALSE())</f>
        <v>10</v>
      </c>
      <c r="L59" s="22" t="n">
        <f aca="false">J59+K59+IF(F59&gt;10000, WRuleAmt10k, 0)+IF(AND(F59&gt;=9000, F59&lt;=9999), WRuleStructure, 0)+IF(MOD(F59,1000)=0, WRuleRound, 0)+IF(OR(VALUE(LEFT(D59,2))&lt;7, VALUE(LEFT(D59,2))&gt;21), WRuleAfterHours, 0)+IF(WEEKDAY(C59,2)&gt;5, WRuleWeekend, 0)+IF(I59="Yes", WRulePEP, 0)+IF(COUNTIFS($C$5:$C$204,C59,$E$5:$E$204,E59)&gt;10, WRuleVelocity, 0)</f>
        <v>43</v>
      </c>
      <c r="M59" s="23" t="str">
        <f aca="false">IF(L59&gt;=SARThreshold,"REVIEW","OK")</f>
        <v>OK</v>
      </c>
    </row>
    <row r="60" customFormat="false" ht="15" hidden="false" customHeight="false" outlineLevel="0" collapsed="false">
      <c r="B60" s="24" t="s">
        <v>194</v>
      </c>
      <c r="C60" s="25" t="n">
        <v>46120</v>
      </c>
      <c r="D60" s="26" t="s">
        <v>195</v>
      </c>
      <c r="E60" s="24" t="s">
        <v>128</v>
      </c>
      <c r="F60" s="27" t="n">
        <v>15000</v>
      </c>
      <c r="G60" s="24" t="s">
        <v>14</v>
      </c>
      <c r="H60" s="24" t="s">
        <v>34</v>
      </c>
      <c r="I60" s="24" t="s">
        <v>67</v>
      </c>
      <c r="J60" s="21" t="n">
        <f aca="false">VLOOKUP(H60, Reference!$B$4:$D$24, 3, FALSE())</f>
        <v>30</v>
      </c>
      <c r="K60" s="21" t="n">
        <f aca="false">VLOOKUP(G60, Reference!$F$4:$G$11, 2, FALSE())</f>
        <v>15</v>
      </c>
      <c r="L60" s="22" t="n">
        <f aca="false">J60+K60+IF(F60&gt;10000, WRuleAmt10k, 0)+IF(AND(F60&gt;=9000, F60&lt;=9999), WRuleStructure, 0)+IF(MOD(F60,1000)=0, WRuleRound, 0)+IF(OR(VALUE(LEFT(D60,2))&lt;7, VALUE(LEFT(D60,2))&gt;21), WRuleAfterHours, 0)+IF(WEEKDAY(C60,2)&gt;5, WRuleWeekend, 0)+IF(I60="Yes", WRulePEP, 0)+IF(COUNTIFS($C$5:$C$204,C60,$E$5:$E$204,E60)&gt;10, WRuleVelocity, 0)</f>
        <v>90</v>
      </c>
      <c r="M60" s="23" t="str">
        <f aca="false">IF(L60&gt;=SARThreshold,"REVIEW","OK")</f>
        <v>REVIEW</v>
      </c>
    </row>
    <row r="61" customFormat="false" ht="15" hidden="false" customHeight="false" outlineLevel="0" collapsed="false">
      <c r="B61" s="17" t="s">
        <v>196</v>
      </c>
      <c r="C61" s="18" t="n">
        <v>46127</v>
      </c>
      <c r="D61" s="19" t="s">
        <v>197</v>
      </c>
      <c r="E61" s="17" t="s">
        <v>88</v>
      </c>
      <c r="F61" s="20" t="n">
        <v>3000</v>
      </c>
      <c r="G61" s="17" t="s">
        <v>24</v>
      </c>
      <c r="H61" s="17" t="s">
        <v>38</v>
      </c>
      <c r="I61" s="17" t="s">
        <v>67</v>
      </c>
      <c r="J61" s="21" t="n">
        <f aca="false">VLOOKUP(H61, Reference!$B$4:$D$24, 3, FALSE())</f>
        <v>30</v>
      </c>
      <c r="K61" s="21" t="n">
        <f aca="false">VLOOKUP(G61, Reference!$F$4:$G$11, 2, FALSE())</f>
        <v>25</v>
      </c>
      <c r="L61" s="22" t="n">
        <f aca="false">J61+K61+IF(F61&gt;10000, WRuleAmt10k, 0)+IF(AND(F61&gt;=9000, F61&lt;=9999), WRuleStructure, 0)+IF(MOD(F61,1000)=0, WRuleRound, 0)+IF(OR(VALUE(LEFT(D61,2))&lt;7, VALUE(LEFT(D61,2))&gt;21), WRuleAfterHours, 0)+IF(WEEKDAY(C61,2)&gt;5, WRuleWeekend, 0)+IF(I61="Yes", WRulePEP, 0)+IF(COUNTIFS($C$5:$C$204,C61,$E$5:$E$204,E61)&gt;10, WRuleVelocity, 0)</f>
        <v>65</v>
      </c>
      <c r="M61" s="23" t="str">
        <f aca="false">IF(L61&gt;=SARThreshold,"REVIEW","OK")</f>
        <v>REVIEW</v>
      </c>
    </row>
    <row r="62" customFormat="false" ht="15" hidden="false" customHeight="false" outlineLevel="0" collapsed="false">
      <c r="B62" s="24" t="s">
        <v>198</v>
      </c>
      <c r="C62" s="25" t="n">
        <v>46118</v>
      </c>
      <c r="D62" s="26" t="s">
        <v>199</v>
      </c>
      <c r="E62" s="24" t="s">
        <v>128</v>
      </c>
      <c r="F62" s="27" t="n">
        <v>2000</v>
      </c>
      <c r="G62" s="24" t="s">
        <v>20</v>
      </c>
      <c r="H62" s="24" t="s">
        <v>37</v>
      </c>
      <c r="I62" s="24" t="s">
        <v>67</v>
      </c>
      <c r="J62" s="21" t="n">
        <f aca="false">VLOOKUP(H62, Reference!$B$4:$D$24, 3, FALSE())</f>
        <v>30</v>
      </c>
      <c r="K62" s="21" t="n">
        <f aca="false">VLOOKUP(G62, Reference!$F$4:$G$11, 2, FALSE())</f>
        <v>5</v>
      </c>
      <c r="L62" s="22" t="n">
        <f aca="false">J62+K62+IF(F62&gt;10000, WRuleAmt10k, 0)+IF(AND(F62&gt;=9000, F62&lt;=9999), WRuleStructure, 0)+IF(MOD(F62,1000)=0, WRuleRound, 0)+IF(OR(VALUE(LEFT(D62,2))&lt;7, VALUE(LEFT(D62,2))&gt;21), WRuleAfterHours, 0)+IF(WEEKDAY(C62,2)&gt;5, WRuleWeekend, 0)+IF(I62="Yes", WRulePEP, 0)+IF(COUNTIFS($C$5:$C$204,C62,$E$5:$E$204,E62)&gt;10, WRuleVelocity, 0)</f>
        <v>55</v>
      </c>
      <c r="M62" s="23" t="str">
        <f aca="false">IF(L62&gt;=SARThreshold,"REVIEW","OK")</f>
        <v>OK</v>
      </c>
    </row>
    <row r="63" customFormat="false" ht="15" hidden="false" customHeight="false" outlineLevel="0" collapsed="false">
      <c r="B63" s="17" t="s">
        <v>200</v>
      </c>
      <c r="C63" s="18" t="n">
        <v>46120</v>
      </c>
      <c r="D63" s="19" t="s">
        <v>87</v>
      </c>
      <c r="E63" s="17" t="s">
        <v>201</v>
      </c>
      <c r="F63" s="20" t="n">
        <v>5000</v>
      </c>
      <c r="G63" s="17" t="s">
        <v>22</v>
      </c>
      <c r="H63" s="17" t="s">
        <v>30</v>
      </c>
      <c r="I63" s="17" t="s">
        <v>67</v>
      </c>
      <c r="J63" s="21" t="n">
        <f aca="false">VLOOKUP(H63, Reference!$B$4:$D$24, 3, FALSE())</f>
        <v>15</v>
      </c>
      <c r="K63" s="21" t="n">
        <f aca="false">VLOOKUP(G63, Reference!$F$4:$G$11, 2, FALSE())</f>
        <v>20</v>
      </c>
      <c r="L63" s="22" t="n">
        <f aca="false">J63+K63+IF(F63&gt;10000, WRuleAmt10k, 0)+IF(AND(F63&gt;=9000, F63&lt;=9999), WRuleStructure, 0)+IF(MOD(F63,1000)=0, WRuleRound, 0)+IF(OR(VALUE(LEFT(D63,2))&lt;7, VALUE(LEFT(D63,2))&gt;21), WRuleAfterHours, 0)+IF(WEEKDAY(C63,2)&gt;5, WRuleWeekend, 0)+IF(I63="Yes", WRulePEP, 0)+IF(COUNTIFS($C$5:$C$204,C63,$E$5:$E$204,E63)&gt;10, WRuleVelocity, 0)</f>
        <v>45</v>
      </c>
      <c r="M63" s="23" t="str">
        <f aca="false">IF(L63&gt;=SARThreshold,"REVIEW","OK")</f>
        <v>OK</v>
      </c>
    </row>
    <row r="64" customFormat="false" ht="15" hidden="false" customHeight="false" outlineLevel="0" collapsed="false">
      <c r="B64" s="24" t="s">
        <v>202</v>
      </c>
      <c r="C64" s="25" t="n">
        <v>46115</v>
      </c>
      <c r="D64" s="26" t="s">
        <v>203</v>
      </c>
      <c r="E64" s="24" t="s">
        <v>85</v>
      </c>
      <c r="F64" s="27" t="n">
        <v>3605</v>
      </c>
      <c r="G64" s="24" t="s">
        <v>14</v>
      </c>
      <c r="H64" s="24" t="s">
        <v>33</v>
      </c>
      <c r="I64" s="24" t="s">
        <v>67</v>
      </c>
      <c r="J64" s="21" t="n">
        <f aca="false">VLOOKUP(H64, Reference!$B$4:$D$24, 3, FALSE())</f>
        <v>15</v>
      </c>
      <c r="K64" s="21" t="n">
        <f aca="false">VLOOKUP(G64, Reference!$F$4:$G$11, 2, FALSE())</f>
        <v>15</v>
      </c>
      <c r="L64" s="22" t="n">
        <f aca="false">J64+K64+IF(F64&gt;10000, WRuleAmt10k, 0)+IF(AND(F64&gt;=9000, F64&lt;=9999), WRuleStructure, 0)+IF(MOD(F64,1000)=0, WRuleRound, 0)+IF(OR(VALUE(LEFT(D64,2))&lt;7, VALUE(LEFT(D64,2))&gt;21), WRuleAfterHours, 0)+IF(WEEKDAY(C64,2)&gt;5, WRuleWeekend, 0)+IF(I64="Yes", WRulePEP, 0)+IF(COUNTIFS($C$5:$C$204,C64,$E$5:$E$204,E64)&gt;10, WRuleVelocity, 0)</f>
        <v>40</v>
      </c>
      <c r="M64" s="23" t="str">
        <f aca="false">IF(L64&gt;=SARThreshold,"REVIEW","OK")</f>
        <v>OK</v>
      </c>
    </row>
    <row r="65" customFormat="false" ht="15" hidden="false" customHeight="false" outlineLevel="0" collapsed="false">
      <c r="B65" s="17" t="s">
        <v>204</v>
      </c>
      <c r="C65" s="18" t="n">
        <v>46130</v>
      </c>
      <c r="D65" s="19" t="s">
        <v>205</v>
      </c>
      <c r="E65" s="17" t="s">
        <v>70</v>
      </c>
      <c r="F65" s="20" t="n">
        <v>6481</v>
      </c>
      <c r="G65" s="17" t="s">
        <v>12</v>
      </c>
      <c r="H65" s="17" t="s">
        <v>39</v>
      </c>
      <c r="I65" s="17" t="s">
        <v>67</v>
      </c>
      <c r="J65" s="21" t="n">
        <f aca="false">VLOOKUP(H65, Reference!$B$4:$D$24, 3, FALSE())</f>
        <v>50</v>
      </c>
      <c r="K65" s="21" t="n">
        <f aca="false">VLOOKUP(G65, Reference!$F$4:$G$11, 2, FALSE())</f>
        <v>10</v>
      </c>
      <c r="L65" s="22" t="n">
        <f aca="false">J65+K65+IF(F65&gt;10000, WRuleAmt10k, 0)+IF(AND(F65&gt;=9000, F65&lt;=9999), WRuleStructure, 0)+IF(MOD(F65,1000)=0, WRuleRound, 0)+IF(OR(VALUE(LEFT(D65,2))&lt;7, VALUE(LEFT(D65,2))&gt;21), WRuleAfterHours, 0)+IF(WEEKDAY(C65,2)&gt;5, WRuleWeekend, 0)+IF(I65="Yes", WRulePEP, 0)+IF(COUNTIFS($C$5:$C$204,C65,$E$5:$E$204,E65)&gt;10, WRuleVelocity, 0)</f>
        <v>68</v>
      </c>
      <c r="M65" s="23" t="str">
        <f aca="false">IF(L65&gt;=SARThreshold,"REVIEW","OK")</f>
        <v>REVIEW</v>
      </c>
    </row>
    <row r="66" customFormat="false" ht="15" hidden="false" customHeight="false" outlineLevel="0" collapsed="false">
      <c r="B66" s="24" t="s">
        <v>206</v>
      </c>
      <c r="C66" s="25" t="n">
        <v>46113</v>
      </c>
      <c r="D66" s="26" t="s">
        <v>127</v>
      </c>
      <c r="E66" s="24" t="s">
        <v>117</v>
      </c>
      <c r="F66" s="27" t="n">
        <v>6965</v>
      </c>
      <c r="G66" s="24" t="s">
        <v>18</v>
      </c>
      <c r="H66" s="24" t="s">
        <v>36</v>
      </c>
      <c r="I66" s="24" t="s">
        <v>67</v>
      </c>
      <c r="J66" s="21" t="n">
        <f aca="false">VLOOKUP(H66, Reference!$B$4:$D$24, 3, FALSE())</f>
        <v>30</v>
      </c>
      <c r="K66" s="21" t="n">
        <f aca="false">VLOOKUP(G66, Reference!$F$4:$G$11, 2, FALSE())</f>
        <v>5</v>
      </c>
      <c r="L66" s="22" t="n">
        <f aca="false">J66+K66+IF(F66&gt;10000, WRuleAmt10k, 0)+IF(AND(F66&gt;=9000, F66&lt;=9999), WRuleStructure, 0)+IF(MOD(F66,1000)=0, WRuleRound, 0)+IF(OR(VALUE(LEFT(D66,2))&lt;7, VALUE(LEFT(D66,2))&gt;21), WRuleAfterHours, 0)+IF(WEEKDAY(C66,2)&gt;5, WRuleWeekend, 0)+IF(I66="Yes", WRulePEP, 0)+IF(COUNTIFS($C$5:$C$204,C66,$E$5:$E$204,E66)&gt;10, WRuleVelocity, 0)</f>
        <v>35</v>
      </c>
      <c r="M66" s="23" t="str">
        <f aca="false">IF(L66&gt;=SARThreshold,"REVIEW","OK")</f>
        <v>OK</v>
      </c>
    </row>
    <row r="67" customFormat="false" ht="15" hidden="false" customHeight="false" outlineLevel="0" collapsed="false">
      <c r="B67" s="17" t="s">
        <v>207</v>
      </c>
      <c r="C67" s="18" t="n">
        <v>46126</v>
      </c>
      <c r="D67" s="19" t="s">
        <v>208</v>
      </c>
      <c r="E67" s="17" t="s">
        <v>148</v>
      </c>
      <c r="F67" s="20" t="n">
        <v>6724</v>
      </c>
      <c r="G67" s="17" t="s">
        <v>16</v>
      </c>
      <c r="H67" s="17" t="s">
        <v>34</v>
      </c>
      <c r="I67" s="17" t="s">
        <v>67</v>
      </c>
      <c r="J67" s="21" t="n">
        <f aca="false">VLOOKUP(H67, Reference!$B$4:$D$24, 3, FALSE())</f>
        <v>30</v>
      </c>
      <c r="K67" s="21" t="n">
        <f aca="false">VLOOKUP(G67, Reference!$F$4:$G$11, 2, FALSE())</f>
        <v>15</v>
      </c>
      <c r="L67" s="22" t="n">
        <f aca="false">J67+K67+IF(F67&gt;10000, WRuleAmt10k, 0)+IF(AND(F67&gt;=9000, F67&lt;=9999), WRuleStructure, 0)+IF(MOD(F67,1000)=0, WRuleRound, 0)+IF(OR(VALUE(LEFT(D67,2))&lt;7, VALUE(LEFT(D67,2))&gt;21), WRuleAfterHours, 0)+IF(WEEKDAY(C67,2)&gt;5, WRuleWeekend, 0)+IF(I67="Yes", WRulePEP, 0)+IF(COUNTIFS($C$5:$C$204,C67,$E$5:$E$204,E67)&gt;10, WRuleVelocity, 0)</f>
        <v>45</v>
      </c>
      <c r="M67" s="23" t="str">
        <f aca="false">IF(L67&gt;=SARThreshold,"REVIEW","OK")</f>
        <v>OK</v>
      </c>
    </row>
    <row r="68" customFormat="false" ht="15" hidden="false" customHeight="false" outlineLevel="0" collapsed="false">
      <c r="B68" s="24" t="s">
        <v>209</v>
      </c>
      <c r="C68" s="25" t="n">
        <v>46132</v>
      </c>
      <c r="D68" s="26" t="s">
        <v>210</v>
      </c>
      <c r="E68" s="24" t="s">
        <v>82</v>
      </c>
      <c r="F68" s="27" t="n">
        <v>544</v>
      </c>
      <c r="G68" s="24" t="s">
        <v>14</v>
      </c>
      <c r="H68" s="24" t="s">
        <v>42</v>
      </c>
      <c r="I68" s="24" t="s">
        <v>67</v>
      </c>
      <c r="J68" s="21" t="n">
        <f aca="false">VLOOKUP(H68, Reference!$B$4:$D$24, 3, FALSE())</f>
        <v>50</v>
      </c>
      <c r="K68" s="21" t="n">
        <f aca="false">VLOOKUP(G68, Reference!$F$4:$G$11, 2, FALSE())</f>
        <v>15</v>
      </c>
      <c r="L68" s="22" t="n">
        <f aca="false">J68+K68+IF(F68&gt;10000, WRuleAmt10k, 0)+IF(AND(F68&gt;=9000, F68&lt;=9999), WRuleStructure, 0)+IF(MOD(F68,1000)=0, WRuleRound, 0)+IF(OR(VALUE(LEFT(D68,2))&lt;7, VALUE(LEFT(D68,2))&gt;21), WRuleAfterHours, 0)+IF(WEEKDAY(C68,2)&gt;5, WRuleWeekend, 0)+IF(I68="Yes", WRulePEP, 0)+IF(COUNTIFS($C$5:$C$204,C68,$E$5:$E$204,E68)&gt;10, WRuleVelocity, 0)</f>
        <v>65</v>
      </c>
      <c r="M68" s="23" t="str">
        <f aca="false">IF(L68&gt;=SARThreshold,"REVIEW","OK")</f>
        <v>REVIEW</v>
      </c>
    </row>
    <row r="69" customFormat="false" ht="15" hidden="false" customHeight="false" outlineLevel="0" collapsed="false">
      <c r="B69" s="17" t="s">
        <v>211</v>
      </c>
      <c r="C69" s="18" t="n">
        <v>46140</v>
      </c>
      <c r="D69" s="19" t="s">
        <v>205</v>
      </c>
      <c r="E69" s="17" t="s">
        <v>95</v>
      </c>
      <c r="F69" s="20" t="n">
        <v>2000</v>
      </c>
      <c r="G69" s="17" t="s">
        <v>26</v>
      </c>
      <c r="H69" s="17" t="s">
        <v>30</v>
      </c>
      <c r="I69" s="17" t="s">
        <v>67</v>
      </c>
      <c r="J69" s="21" t="n">
        <f aca="false">VLOOKUP(H69, Reference!$B$4:$D$24, 3, FALSE())</f>
        <v>15</v>
      </c>
      <c r="K69" s="21" t="n">
        <f aca="false">VLOOKUP(G69, Reference!$F$4:$G$11, 2, FALSE())</f>
        <v>20</v>
      </c>
      <c r="L69" s="22" t="n">
        <f aca="false">J69+K69+IF(F69&gt;10000, WRuleAmt10k, 0)+IF(AND(F69&gt;=9000, F69&lt;=9999), WRuleStructure, 0)+IF(MOD(F69,1000)=0, WRuleRound, 0)+IF(OR(VALUE(LEFT(D69,2))&lt;7, VALUE(LEFT(D69,2))&gt;21), WRuleAfterHours, 0)+IF(WEEKDAY(C69,2)&gt;5, WRuleWeekend, 0)+IF(I69="Yes", WRulePEP, 0)+IF(COUNTIFS($C$5:$C$204,C69,$E$5:$E$204,E69)&gt;10, WRuleVelocity, 0)</f>
        <v>45</v>
      </c>
      <c r="M69" s="23" t="str">
        <f aca="false">IF(L69&gt;=SARThreshold,"REVIEW","OK")</f>
        <v>OK</v>
      </c>
    </row>
    <row r="70" customFormat="false" ht="15" hidden="false" customHeight="false" outlineLevel="0" collapsed="false">
      <c r="B70" s="24" t="s">
        <v>212</v>
      </c>
      <c r="C70" s="25" t="n">
        <v>46141</v>
      </c>
      <c r="D70" s="26" t="s">
        <v>213</v>
      </c>
      <c r="E70" s="24" t="s">
        <v>95</v>
      </c>
      <c r="F70" s="27" t="n">
        <v>7805</v>
      </c>
      <c r="G70" s="24" t="s">
        <v>12</v>
      </c>
      <c r="H70" s="24" t="s">
        <v>38</v>
      </c>
      <c r="I70" s="24" t="s">
        <v>79</v>
      </c>
      <c r="J70" s="21" t="n">
        <f aca="false">VLOOKUP(H70, Reference!$B$4:$D$24, 3, FALSE())</f>
        <v>30</v>
      </c>
      <c r="K70" s="21" t="n">
        <f aca="false">VLOOKUP(G70, Reference!$F$4:$G$11, 2, FALSE())</f>
        <v>10</v>
      </c>
      <c r="L70" s="22" t="n">
        <f aca="false">J70+K70+IF(F70&gt;10000, WRuleAmt10k, 0)+IF(AND(F70&gt;=9000, F70&lt;=9999), WRuleStructure, 0)+IF(MOD(F70,1000)=0, WRuleRound, 0)+IF(OR(VALUE(LEFT(D70,2))&lt;7, VALUE(LEFT(D70,2))&gt;21), WRuleAfterHours, 0)+IF(WEEKDAY(C70,2)&gt;5, WRuleWeekend, 0)+IF(I70="Yes", WRulePEP, 0)+IF(COUNTIFS($C$5:$C$204,C70,$E$5:$E$204,E70)&gt;10, WRuleVelocity, 0)</f>
        <v>65</v>
      </c>
      <c r="M70" s="23" t="str">
        <f aca="false">IF(L70&gt;=SARThreshold,"REVIEW","OK")</f>
        <v>REVIEW</v>
      </c>
    </row>
    <row r="71" customFormat="false" ht="15" hidden="false" customHeight="false" outlineLevel="0" collapsed="false">
      <c r="B71" s="17" t="s">
        <v>214</v>
      </c>
      <c r="C71" s="18" t="n">
        <v>46124</v>
      </c>
      <c r="D71" s="19" t="s">
        <v>84</v>
      </c>
      <c r="E71" s="17" t="s">
        <v>215</v>
      </c>
      <c r="F71" s="20" t="n">
        <v>759</v>
      </c>
      <c r="G71" s="17" t="s">
        <v>12</v>
      </c>
      <c r="H71" s="17" t="s">
        <v>25</v>
      </c>
      <c r="I71" s="17" t="s">
        <v>67</v>
      </c>
      <c r="J71" s="21" t="n">
        <f aca="false">VLOOKUP(H71, Reference!$B$4:$D$24, 3, FALSE())</f>
        <v>5</v>
      </c>
      <c r="K71" s="21" t="n">
        <f aca="false">VLOOKUP(G71, Reference!$F$4:$G$11, 2, FALSE())</f>
        <v>10</v>
      </c>
      <c r="L71" s="22" t="n">
        <f aca="false">J71+K71+IF(F71&gt;10000, WRuleAmt10k, 0)+IF(AND(F71&gt;=9000, F71&lt;=9999), WRuleStructure, 0)+IF(MOD(F71,1000)=0, WRuleRound, 0)+IF(OR(VALUE(LEFT(D71,2))&lt;7, VALUE(LEFT(D71,2))&gt;21), WRuleAfterHours, 0)+IF(WEEKDAY(C71,2)&gt;5, WRuleWeekend, 0)+IF(I71="Yes", WRulePEP, 0)+IF(COUNTIFS($C$5:$C$204,C71,$E$5:$E$204,E71)&gt;10, WRuleVelocity, 0)</f>
        <v>23</v>
      </c>
      <c r="M71" s="23" t="str">
        <f aca="false">IF(L71&gt;=SARThreshold,"REVIEW","OK")</f>
        <v>OK</v>
      </c>
    </row>
    <row r="72" customFormat="false" ht="15" hidden="false" customHeight="false" outlineLevel="0" collapsed="false">
      <c r="B72" s="24" t="s">
        <v>216</v>
      </c>
      <c r="C72" s="25" t="n">
        <v>46113</v>
      </c>
      <c r="D72" s="26" t="s">
        <v>168</v>
      </c>
      <c r="E72" s="24" t="s">
        <v>98</v>
      </c>
      <c r="F72" s="27" t="n">
        <v>1974</v>
      </c>
      <c r="G72" s="24" t="s">
        <v>18</v>
      </c>
      <c r="H72" s="24" t="s">
        <v>34</v>
      </c>
      <c r="I72" s="24" t="s">
        <v>67</v>
      </c>
      <c r="J72" s="21" t="n">
        <f aca="false">VLOOKUP(H72, Reference!$B$4:$D$24, 3, FALSE())</f>
        <v>30</v>
      </c>
      <c r="K72" s="21" t="n">
        <f aca="false">VLOOKUP(G72, Reference!$F$4:$G$11, 2, FALSE())</f>
        <v>5</v>
      </c>
      <c r="L72" s="22" t="n">
        <f aca="false">J72+K72+IF(F72&gt;10000, WRuleAmt10k, 0)+IF(AND(F72&gt;=9000, F72&lt;=9999), WRuleStructure, 0)+IF(MOD(F72,1000)=0, WRuleRound, 0)+IF(OR(VALUE(LEFT(D72,2))&lt;7, VALUE(LEFT(D72,2))&gt;21), WRuleAfterHours, 0)+IF(WEEKDAY(C72,2)&gt;5, WRuleWeekend, 0)+IF(I72="Yes", WRulePEP, 0)+IF(COUNTIFS($C$5:$C$204,C72,$E$5:$E$204,E72)&gt;10, WRuleVelocity, 0)</f>
        <v>35</v>
      </c>
      <c r="M72" s="23" t="str">
        <f aca="false">IF(L72&gt;=SARThreshold,"REVIEW","OK")</f>
        <v>OK</v>
      </c>
    </row>
    <row r="73" customFormat="false" ht="15" hidden="false" customHeight="false" outlineLevel="0" collapsed="false">
      <c r="B73" s="17" t="s">
        <v>217</v>
      </c>
      <c r="C73" s="18" t="n">
        <v>46137</v>
      </c>
      <c r="D73" s="19" t="s">
        <v>218</v>
      </c>
      <c r="E73" s="17" t="s">
        <v>88</v>
      </c>
      <c r="F73" s="20" t="n">
        <v>1976</v>
      </c>
      <c r="G73" s="17" t="s">
        <v>16</v>
      </c>
      <c r="H73" s="17" t="s">
        <v>29</v>
      </c>
      <c r="I73" s="17" t="s">
        <v>67</v>
      </c>
      <c r="J73" s="21" t="n">
        <f aca="false">VLOOKUP(H73, Reference!$B$4:$D$24, 3, FALSE())</f>
        <v>15</v>
      </c>
      <c r="K73" s="21" t="n">
        <f aca="false">VLOOKUP(G73, Reference!$F$4:$G$11, 2, FALSE())</f>
        <v>15</v>
      </c>
      <c r="L73" s="22" t="n">
        <f aca="false">J73+K73+IF(F73&gt;10000, WRuleAmt10k, 0)+IF(AND(F73&gt;=9000, F73&lt;=9999), WRuleStructure, 0)+IF(MOD(F73,1000)=0, WRuleRound, 0)+IF(OR(VALUE(LEFT(D73,2))&lt;7, VALUE(LEFT(D73,2))&gt;21), WRuleAfterHours, 0)+IF(WEEKDAY(C73,2)&gt;5, WRuleWeekend, 0)+IF(I73="Yes", WRulePEP, 0)+IF(COUNTIFS($C$5:$C$204,C73,$E$5:$E$204,E73)&gt;10, WRuleVelocity, 0)</f>
        <v>38</v>
      </c>
      <c r="M73" s="23" t="str">
        <f aca="false">IF(L73&gt;=SARThreshold,"REVIEW","OK")</f>
        <v>OK</v>
      </c>
    </row>
    <row r="74" customFormat="false" ht="15" hidden="false" customHeight="false" outlineLevel="0" collapsed="false">
      <c r="B74" s="24" t="s">
        <v>219</v>
      </c>
      <c r="C74" s="25" t="n">
        <v>46113</v>
      </c>
      <c r="D74" s="26" t="s">
        <v>154</v>
      </c>
      <c r="E74" s="24" t="s">
        <v>85</v>
      </c>
      <c r="F74" s="27" t="n">
        <v>3349</v>
      </c>
      <c r="G74" s="24" t="s">
        <v>14</v>
      </c>
      <c r="H74" s="24" t="s">
        <v>39</v>
      </c>
      <c r="I74" s="24" t="s">
        <v>67</v>
      </c>
      <c r="J74" s="21" t="n">
        <f aca="false">VLOOKUP(H74, Reference!$B$4:$D$24, 3, FALSE())</f>
        <v>50</v>
      </c>
      <c r="K74" s="21" t="n">
        <f aca="false">VLOOKUP(G74, Reference!$F$4:$G$11, 2, FALSE())</f>
        <v>15</v>
      </c>
      <c r="L74" s="22" t="n">
        <f aca="false">J74+K74+IF(F74&gt;10000, WRuleAmt10k, 0)+IF(AND(F74&gt;=9000, F74&lt;=9999), WRuleStructure, 0)+IF(MOD(F74,1000)=0, WRuleRound, 0)+IF(OR(VALUE(LEFT(D74,2))&lt;7, VALUE(LEFT(D74,2))&gt;21), WRuleAfterHours, 0)+IF(WEEKDAY(C74,2)&gt;5, WRuleWeekend, 0)+IF(I74="Yes", WRulePEP, 0)+IF(COUNTIFS($C$5:$C$204,C74,$E$5:$E$204,E74)&gt;10, WRuleVelocity, 0)</f>
        <v>65</v>
      </c>
      <c r="M74" s="23" t="str">
        <f aca="false">IF(L74&gt;=SARThreshold,"REVIEW","OK")</f>
        <v>REVIEW</v>
      </c>
    </row>
    <row r="75" customFormat="false" ht="15" hidden="false" customHeight="false" outlineLevel="0" collapsed="false">
      <c r="B75" s="17" t="s">
        <v>220</v>
      </c>
      <c r="C75" s="18" t="n">
        <v>46133</v>
      </c>
      <c r="D75" s="19" t="s">
        <v>221</v>
      </c>
      <c r="E75" s="17" t="s">
        <v>117</v>
      </c>
      <c r="F75" s="20" t="n">
        <v>2083</v>
      </c>
      <c r="G75" s="17" t="s">
        <v>12</v>
      </c>
      <c r="H75" s="17" t="s">
        <v>31</v>
      </c>
      <c r="I75" s="17" t="s">
        <v>67</v>
      </c>
      <c r="J75" s="21" t="n">
        <f aca="false">VLOOKUP(H75, Reference!$B$4:$D$24, 3, FALSE())</f>
        <v>15</v>
      </c>
      <c r="K75" s="21" t="n">
        <f aca="false">VLOOKUP(G75, Reference!$F$4:$G$11, 2, FALSE())</f>
        <v>10</v>
      </c>
      <c r="L75" s="22" t="n">
        <f aca="false">J75+K75+IF(F75&gt;10000, WRuleAmt10k, 0)+IF(AND(F75&gt;=9000, F75&lt;=9999), WRuleStructure, 0)+IF(MOD(F75,1000)=0, WRuleRound, 0)+IF(OR(VALUE(LEFT(D75,2))&lt;7, VALUE(LEFT(D75,2))&gt;21), WRuleAfterHours, 0)+IF(WEEKDAY(C75,2)&gt;5, WRuleWeekend, 0)+IF(I75="Yes", WRulePEP, 0)+IF(COUNTIFS($C$5:$C$204,C75,$E$5:$E$204,E75)&gt;10, WRuleVelocity, 0)</f>
        <v>25</v>
      </c>
      <c r="M75" s="23" t="str">
        <f aca="false">IF(L75&gt;=SARThreshold,"REVIEW","OK")</f>
        <v>OK</v>
      </c>
    </row>
    <row r="76" customFormat="false" ht="15" hidden="false" customHeight="false" outlineLevel="0" collapsed="false">
      <c r="B76" s="24" t="s">
        <v>222</v>
      </c>
      <c r="C76" s="25" t="n">
        <v>46134</v>
      </c>
      <c r="D76" s="26" t="s">
        <v>223</v>
      </c>
      <c r="E76" s="24" t="s">
        <v>224</v>
      </c>
      <c r="F76" s="27" t="n">
        <v>3000</v>
      </c>
      <c r="G76" s="24" t="s">
        <v>26</v>
      </c>
      <c r="H76" s="24" t="s">
        <v>17</v>
      </c>
      <c r="I76" s="24" t="s">
        <v>67</v>
      </c>
      <c r="J76" s="21" t="n">
        <f aca="false">VLOOKUP(H76, Reference!$B$4:$D$24, 3, FALSE())</f>
        <v>5</v>
      </c>
      <c r="K76" s="21" t="n">
        <f aca="false">VLOOKUP(G76, Reference!$F$4:$G$11, 2, FALSE())</f>
        <v>20</v>
      </c>
      <c r="L76" s="22" t="n">
        <f aca="false">J76+K76+IF(F76&gt;10000, WRuleAmt10k, 0)+IF(AND(F76&gt;=9000, F76&lt;=9999), WRuleStructure, 0)+IF(MOD(F76,1000)=0, WRuleRound, 0)+IF(OR(VALUE(LEFT(D76,2))&lt;7, VALUE(LEFT(D76,2))&gt;21), WRuleAfterHours, 0)+IF(WEEKDAY(C76,2)&gt;5, WRuleWeekend, 0)+IF(I76="Yes", WRulePEP, 0)+IF(COUNTIFS($C$5:$C$204,C76,$E$5:$E$204,E76)&gt;10, WRuleVelocity, 0)</f>
        <v>35</v>
      </c>
      <c r="M76" s="23" t="str">
        <f aca="false">IF(L76&gt;=SARThreshold,"REVIEW","OK")</f>
        <v>OK</v>
      </c>
    </row>
    <row r="77" customFormat="false" ht="15" hidden="false" customHeight="false" outlineLevel="0" collapsed="false">
      <c r="B77" s="17" t="s">
        <v>225</v>
      </c>
      <c r="C77" s="18" t="n">
        <v>46124</v>
      </c>
      <c r="D77" s="19" t="s">
        <v>119</v>
      </c>
      <c r="E77" s="17" t="s">
        <v>201</v>
      </c>
      <c r="F77" s="20" t="n">
        <v>9180</v>
      </c>
      <c r="G77" s="17" t="s">
        <v>20</v>
      </c>
      <c r="H77" s="17" t="s">
        <v>41</v>
      </c>
      <c r="I77" s="17" t="s">
        <v>67</v>
      </c>
      <c r="J77" s="21" t="n">
        <f aca="false">VLOOKUP(H77, Reference!$B$4:$D$24, 3, FALSE())</f>
        <v>50</v>
      </c>
      <c r="K77" s="21" t="n">
        <f aca="false">VLOOKUP(G77, Reference!$F$4:$G$11, 2, FALSE())</f>
        <v>5</v>
      </c>
      <c r="L77" s="22" t="n">
        <f aca="false">J77+K77+IF(F77&gt;10000, WRuleAmt10k, 0)+IF(AND(F77&gt;=9000, F77&lt;=9999), WRuleStructure, 0)+IF(MOD(F77,1000)=0, WRuleRound, 0)+IF(OR(VALUE(LEFT(D77,2))&lt;7, VALUE(LEFT(D77,2))&gt;21), WRuleAfterHours, 0)+IF(WEEKDAY(C77,2)&gt;5, WRuleWeekend, 0)+IF(I77="Yes", WRulePEP, 0)+IF(COUNTIFS($C$5:$C$204,C77,$E$5:$E$204,E77)&gt;10, WRuleVelocity, 0)</f>
        <v>93</v>
      </c>
      <c r="M77" s="23" t="str">
        <f aca="false">IF(L77&gt;=SARThreshold,"REVIEW","OK")</f>
        <v>REVIEW</v>
      </c>
    </row>
    <row r="78" customFormat="false" ht="15" hidden="false" customHeight="false" outlineLevel="0" collapsed="false">
      <c r="B78" s="24" t="s">
        <v>226</v>
      </c>
      <c r="C78" s="25" t="n">
        <v>46130</v>
      </c>
      <c r="D78" s="26" t="s">
        <v>208</v>
      </c>
      <c r="E78" s="24" t="s">
        <v>114</v>
      </c>
      <c r="F78" s="27" t="n">
        <v>4497</v>
      </c>
      <c r="G78" s="24" t="s">
        <v>22</v>
      </c>
      <c r="H78" s="24" t="s">
        <v>25</v>
      </c>
      <c r="I78" s="24" t="s">
        <v>67</v>
      </c>
      <c r="J78" s="21" t="n">
        <f aca="false">VLOOKUP(H78, Reference!$B$4:$D$24, 3, FALSE())</f>
        <v>5</v>
      </c>
      <c r="K78" s="21" t="n">
        <f aca="false">VLOOKUP(G78, Reference!$F$4:$G$11, 2, FALSE())</f>
        <v>20</v>
      </c>
      <c r="L78" s="22" t="n">
        <f aca="false">J78+K78+IF(F78&gt;10000, WRuleAmt10k, 0)+IF(AND(F78&gt;=9000, F78&lt;=9999), WRuleStructure, 0)+IF(MOD(F78,1000)=0, WRuleRound, 0)+IF(OR(VALUE(LEFT(D78,2))&lt;7, VALUE(LEFT(D78,2))&gt;21), WRuleAfterHours, 0)+IF(WEEKDAY(C78,2)&gt;5, WRuleWeekend, 0)+IF(I78="Yes", WRulePEP, 0)+IF(COUNTIFS($C$5:$C$204,C78,$E$5:$E$204,E78)&gt;10, WRuleVelocity, 0)</f>
        <v>33</v>
      </c>
      <c r="M78" s="23" t="str">
        <f aca="false">IF(L78&gt;=SARThreshold,"REVIEW","OK")</f>
        <v>OK</v>
      </c>
    </row>
    <row r="79" customFormat="false" ht="15" hidden="false" customHeight="false" outlineLevel="0" collapsed="false">
      <c r="B79" s="17" t="s">
        <v>227</v>
      </c>
      <c r="C79" s="18" t="n">
        <v>46115</v>
      </c>
      <c r="D79" s="19" t="s">
        <v>138</v>
      </c>
      <c r="E79" s="17" t="s">
        <v>66</v>
      </c>
      <c r="F79" s="20" t="n">
        <v>6309</v>
      </c>
      <c r="G79" s="17" t="s">
        <v>22</v>
      </c>
      <c r="H79" s="17" t="s">
        <v>10</v>
      </c>
      <c r="I79" s="17" t="s">
        <v>67</v>
      </c>
      <c r="J79" s="21" t="n">
        <f aca="false">VLOOKUP(H79, Reference!$B$4:$D$24, 3, FALSE())</f>
        <v>5</v>
      </c>
      <c r="K79" s="21" t="n">
        <f aca="false">VLOOKUP(G79, Reference!$F$4:$G$11, 2, FALSE())</f>
        <v>20</v>
      </c>
      <c r="L79" s="22" t="n">
        <f aca="false">J79+K79+IF(F79&gt;10000, WRuleAmt10k, 0)+IF(AND(F79&gt;=9000, F79&lt;=9999), WRuleStructure, 0)+IF(MOD(F79,1000)=0, WRuleRound, 0)+IF(OR(VALUE(LEFT(D79,2))&lt;7, VALUE(LEFT(D79,2))&gt;21), WRuleAfterHours, 0)+IF(WEEKDAY(C79,2)&gt;5, WRuleWeekend, 0)+IF(I79="Yes", WRulePEP, 0)+IF(COUNTIFS($C$5:$C$204,C79,$E$5:$E$204,E79)&gt;10, WRuleVelocity, 0)</f>
        <v>25</v>
      </c>
      <c r="M79" s="23" t="str">
        <f aca="false">IF(L79&gt;=SARThreshold,"REVIEW","OK")</f>
        <v>OK</v>
      </c>
    </row>
    <row r="80" customFormat="false" ht="15" hidden="false" customHeight="false" outlineLevel="0" collapsed="false">
      <c r="B80" s="24" t="s">
        <v>228</v>
      </c>
      <c r="C80" s="25" t="n">
        <v>46123</v>
      </c>
      <c r="D80" s="26" t="s">
        <v>229</v>
      </c>
      <c r="E80" s="24" t="s">
        <v>182</v>
      </c>
      <c r="F80" s="27" t="n">
        <v>5676</v>
      </c>
      <c r="G80" s="24" t="s">
        <v>20</v>
      </c>
      <c r="H80" s="24" t="s">
        <v>41</v>
      </c>
      <c r="I80" s="24" t="s">
        <v>67</v>
      </c>
      <c r="J80" s="21" t="n">
        <f aca="false">VLOOKUP(H80, Reference!$B$4:$D$24, 3, FALSE())</f>
        <v>50</v>
      </c>
      <c r="K80" s="21" t="n">
        <f aca="false">VLOOKUP(G80, Reference!$F$4:$G$11, 2, FALSE())</f>
        <v>5</v>
      </c>
      <c r="L80" s="22" t="n">
        <f aca="false">J80+K80+IF(F80&gt;10000, WRuleAmt10k, 0)+IF(AND(F80&gt;=9000, F80&lt;=9999), WRuleStructure, 0)+IF(MOD(F80,1000)=0, WRuleRound, 0)+IF(OR(VALUE(LEFT(D80,2))&lt;7, VALUE(LEFT(D80,2))&gt;21), WRuleAfterHours, 0)+IF(WEEKDAY(C80,2)&gt;5, WRuleWeekend, 0)+IF(I80="Yes", WRulePEP, 0)+IF(COUNTIFS($C$5:$C$204,C80,$E$5:$E$204,E80)&gt;10, WRuleVelocity, 0)</f>
        <v>73</v>
      </c>
      <c r="M80" s="23" t="str">
        <f aca="false">IF(L80&gt;=SARThreshold,"REVIEW","OK")</f>
        <v>REVIEW</v>
      </c>
    </row>
    <row r="81" customFormat="false" ht="15" hidden="false" customHeight="false" outlineLevel="0" collapsed="false">
      <c r="B81" s="17" t="s">
        <v>230</v>
      </c>
      <c r="C81" s="18" t="n">
        <v>46121</v>
      </c>
      <c r="D81" s="19" t="s">
        <v>231</v>
      </c>
      <c r="E81" s="17" t="s">
        <v>75</v>
      </c>
      <c r="F81" s="20" t="n">
        <v>9247</v>
      </c>
      <c r="G81" s="17" t="s">
        <v>24</v>
      </c>
      <c r="H81" s="17" t="s">
        <v>36</v>
      </c>
      <c r="I81" s="17" t="s">
        <v>67</v>
      </c>
      <c r="J81" s="21" t="n">
        <f aca="false">VLOOKUP(H81, Reference!$B$4:$D$24, 3, FALSE())</f>
        <v>30</v>
      </c>
      <c r="K81" s="21" t="n">
        <f aca="false">VLOOKUP(G81, Reference!$F$4:$G$11, 2, FALSE())</f>
        <v>25</v>
      </c>
      <c r="L81" s="22" t="n">
        <f aca="false">J81+K81+IF(F81&gt;10000, WRuleAmt10k, 0)+IF(AND(F81&gt;=9000, F81&lt;=9999), WRuleStructure, 0)+IF(MOD(F81,1000)=0, WRuleRound, 0)+IF(OR(VALUE(LEFT(D81,2))&lt;7, VALUE(LEFT(D81,2))&gt;21), WRuleAfterHours, 0)+IF(WEEKDAY(C81,2)&gt;5, WRuleWeekend, 0)+IF(I81="Yes", WRulePEP, 0)+IF(COUNTIFS($C$5:$C$204,C81,$E$5:$E$204,E81)&gt;10, WRuleVelocity, 0)</f>
        <v>85</v>
      </c>
      <c r="M81" s="23" t="str">
        <f aca="false">IF(L81&gt;=SARThreshold,"REVIEW","OK")</f>
        <v>REVIEW</v>
      </c>
    </row>
    <row r="82" customFormat="false" ht="15" hidden="false" customHeight="false" outlineLevel="0" collapsed="false">
      <c r="B82" s="24" t="s">
        <v>232</v>
      </c>
      <c r="C82" s="25" t="n">
        <v>46120</v>
      </c>
      <c r="D82" s="26" t="s">
        <v>72</v>
      </c>
      <c r="E82" s="24" t="s">
        <v>128</v>
      </c>
      <c r="F82" s="27" t="n">
        <v>1624</v>
      </c>
      <c r="G82" s="24" t="s">
        <v>20</v>
      </c>
      <c r="H82" s="24" t="s">
        <v>25</v>
      </c>
      <c r="I82" s="24" t="s">
        <v>67</v>
      </c>
      <c r="J82" s="21" t="n">
        <f aca="false">VLOOKUP(H82, Reference!$B$4:$D$24, 3, FALSE())</f>
        <v>5</v>
      </c>
      <c r="K82" s="21" t="n">
        <f aca="false">VLOOKUP(G82, Reference!$F$4:$G$11, 2, FALSE())</f>
        <v>5</v>
      </c>
      <c r="L82" s="22" t="n">
        <f aca="false">J82+K82+IF(F82&gt;10000, WRuleAmt10k, 0)+IF(AND(F82&gt;=9000, F82&lt;=9999), WRuleStructure, 0)+IF(MOD(F82,1000)=0, WRuleRound, 0)+IF(OR(VALUE(LEFT(D82,2))&lt;7, VALUE(LEFT(D82,2))&gt;21), WRuleAfterHours, 0)+IF(WEEKDAY(C82,2)&gt;5, WRuleWeekend, 0)+IF(I82="Yes", WRulePEP, 0)+IF(COUNTIFS($C$5:$C$204,C82,$E$5:$E$204,E82)&gt;10, WRuleVelocity, 0)</f>
        <v>20</v>
      </c>
      <c r="M82" s="23" t="str">
        <f aca="false">IF(L82&gt;=SARThreshold,"REVIEW","OK")</f>
        <v>OK</v>
      </c>
    </row>
    <row r="83" customFormat="false" ht="15" hidden="false" customHeight="false" outlineLevel="0" collapsed="false">
      <c r="B83" s="17" t="s">
        <v>233</v>
      </c>
      <c r="C83" s="18" t="n">
        <v>46120</v>
      </c>
      <c r="D83" s="19" t="s">
        <v>234</v>
      </c>
      <c r="E83" s="17" t="s">
        <v>182</v>
      </c>
      <c r="F83" s="20" t="n">
        <v>8798</v>
      </c>
      <c r="G83" s="17" t="s">
        <v>22</v>
      </c>
      <c r="H83" s="17" t="s">
        <v>33</v>
      </c>
      <c r="I83" s="17" t="s">
        <v>67</v>
      </c>
      <c r="J83" s="21" t="n">
        <f aca="false">VLOOKUP(H83, Reference!$B$4:$D$24, 3, FALSE())</f>
        <v>15</v>
      </c>
      <c r="K83" s="21" t="n">
        <f aca="false">VLOOKUP(G83, Reference!$F$4:$G$11, 2, FALSE())</f>
        <v>20</v>
      </c>
      <c r="L83" s="22" t="n">
        <f aca="false">J83+K83+IF(F83&gt;10000, WRuleAmt10k, 0)+IF(AND(F83&gt;=9000, F83&lt;=9999), WRuleStructure, 0)+IF(MOD(F83,1000)=0, WRuleRound, 0)+IF(OR(VALUE(LEFT(D83,2))&lt;7, VALUE(LEFT(D83,2))&gt;21), WRuleAfterHours, 0)+IF(WEEKDAY(C83,2)&gt;5, WRuleWeekend, 0)+IF(I83="Yes", WRulePEP, 0)+IF(COUNTIFS($C$5:$C$204,C83,$E$5:$E$204,E83)&gt;10, WRuleVelocity, 0)</f>
        <v>35</v>
      </c>
      <c r="M83" s="23" t="str">
        <f aca="false">IF(L83&gt;=SARThreshold,"REVIEW","OK")</f>
        <v>OK</v>
      </c>
    </row>
    <row r="84" customFormat="false" ht="15" hidden="false" customHeight="false" outlineLevel="0" collapsed="false">
      <c r="B84" s="24" t="s">
        <v>235</v>
      </c>
      <c r="C84" s="25" t="n">
        <v>46130</v>
      </c>
      <c r="D84" s="26" t="s">
        <v>170</v>
      </c>
      <c r="E84" s="24" t="s">
        <v>95</v>
      </c>
      <c r="F84" s="27" t="n">
        <v>2000</v>
      </c>
      <c r="G84" s="24" t="s">
        <v>14</v>
      </c>
      <c r="H84" s="24" t="s">
        <v>23</v>
      </c>
      <c r="I84" s="24" t="s">
        <v>67</v>
      </c>
      <c r="J84" s="21" t="n">
        <f aca="false">VLOOKUP(H84, Reference!$B$4:$D$24, 3, FALSE())</f>
        <v>5</v>
      </c>
      <c r="K84" s="21" t="n">
        <f aca="false">VLOOKUP(G84, Reference!$F$4:$G$11, 2, FALSE())</f>
        <v>15</v>
      </c>
      <c r="L84" s="22" t="n">
        <f aca="false">J84+K84+IF(F84&gt;10000, WRuleAmt10k, 0)+IF(AND(F84&gt;=9000, F84&lt;=9999), WRuleStructure, 0)+IF(MOD(F84,1000)=0, WRuleRound, 0)+IF(OR(VALUE(LEFT(D84,2))&lt;7, VALUE(LEFT(D84,2))&gt;21), WRuleAfterHours, 0)+IF(WEEKDAY(C84,2)&gt;5, WRuleWeekend, 0)+IF(I84="Yes", WRulePEP, 0)+IF(COUNTIFS($C$5:$C$204,C84,$E$5:$E$204,E84)&gt;10, WRuleVelocity, 0)</f>
        <v>38</v>
      </c>
      <c r="M84" s="23" t="str">
        <f aca="false">IF(L84&gt;=SARThreshold,"REVIEW","OK")</f>
        <v>OK</v>
      </c>
    </row>
    <row r="85" customFormat="false" ht="15" hidden="false" customHeight="false" outlineLevel="0" collapsed="false">
      <c r="B85" s="17" t="s">
        <v>236</v>
      </c>
      <c r="C85" s="18" t="n">
        <v>46136</v>
      </c>
      <c r="D85" s="19" t="s">
        <v>237</v>
      </c>
      <c r="E85" s="17" t="s">
        <v>70</v>
      </c>
      <c r="F85" s="20" t="n">
        <v>9495</v>
      </c>
      <c r="G85" s="17" t="s">
        <v>20</v>
      </c>
      <c r="H85" s="17" t="s">
        <v>39</v>
      </c>
      <c r="I85" s="17" t="s">
        <v>67</v>
      </c>
      <c r="J85" s="21" t="n">
        <f aca="false">VLOOKUP(H85, Reference!$B$4:$D$24, 3, FALSE())</f>
        <v>50</v>
      </c>
      <c r="K85" s="21" t="n">
        <f aca="false">VLOOKUP(G85, Reference!$F$4:$G$11, 2, FALSE())</f>
        <v>5</v>
      </c>
      <c r="L85" s="22" t="n">
        <f aca="false">J85+K85+IF(F85&gt;10000, WRuleAmt10k, 0)+IF(AND(F85&gt;=9000, F85&lt;=9999), WRuleStructure, 0)+IF(MOD(F85,1000)=0, WRuleRound, 0)+IF(OR(VALUE(LEFT(D85,2))&lt;7, VALUE(LEFT(D85,2))&gt;21), WRuleAfterHours, 0)+IF(WEEKDAY(C85,2)&gt;5, WRuleWeekend, 0)+IF(I85="Yes", WRulePEP, 0)+IF(COUNTIFS($C$5:$C$204,C85,$E$5:$E$204,E85)&gt;10, WRuleVelocity, 0)</f>
        <v>85</v>
      </c>
      <c r="M85" s="23" t="str">
        <f aca="false">IF(L85&gt;=SARThreshold,"REVIEW","OK")</f>
        <v>REVIEW</v>
      </c>
    </row>
    <row r="86" customFormat="false" ht="15" hidden="false" customHeight="false" outlineLevel="0" collapsed="false">
      <c r="B86" s="24" t="s">
        <v>238</v>
      </c>
      <c r="C86" s="25" t="n">
        <v>46129</v>
      </c>
      <c r="D86" s="26" t="s">
        <v>239</v>
      </c>
      <c r="E86" s="24" t="s">
        <v>114</v>
      </c>
      <c r="F86" s="27" t="n">
        <v>9232</v>
      </c>
      <c r="G86" s="24" t="s">
        <v>22</v>
      </c>
      <c r="H86" s="24" t="s">
        <v>21</v>
      </c>
      <c r="I86" s="24" t="s">
        <v>67</v>
      </c>
      <c r="J86" s="21" t="n">
        <f aca="false">VLOOKUP(H86, Reference!$B$4:$D$24, 3, FALSE())</f>
        <v>5</v>
      </c>
      <c r="K86" s="21" t="n">
        <f aca="false">VLOOKUP(G86, Reference!$F$4:$G$11, 2, FALSE())</f>
        <v>20</v>
      </c>
      <c r="L86" s="22" t="n">
        <f aca="false">J86+K86+IF(F86&gt;10000, WRuleAmt10k, 0)+IF(AND(F86&gt;=9000, F86&lt;=9999), WRuleStructure, 0)+IF(MOD(F86,1000)=0, WRuleRound, 0)+IF(OR(VALUE(LEFT(D86,2))&lt;7, VALUE(LEFT(D86,2))&gt;21), WRuleAfterHours, 0)+IF(WEEKDAY(C86,2)&gt;5, WRuleWeekend, 0)+IF(I86="Yes", WRulePEP, 0)+IF(COUNTIFS($C$5:$C$204,C86,$E$5:$E$204,E86)&gt;10, WRuleVelocity, 0)</f>
        <v>55</v>
      </c>
      <c r="M86" s="23" t="str">
        <f aca="false">IF(L86&gt;=SARThreshold,"REVIEW","OK")</f>
        <v>OK</v>
      </c>
    </row>
    <row r="87" customFormat="false" ht="15" hidden="false" customHeight="false" outlineLevel="0" collapsed="false">
      <c r="B87" s="17" t="s">
        <v>240</v>
      </c>
      <c r="C87" s="18" t="n">
        <v>46135</v>
      </c>
      <c r="D87" s="19" t="s">
        <v>241</v>
      </c>
      <c r="E87" s="17" t="s">
        <v>142</v>
      </c>
      <c r="F87" s="20" t="n">
        <v>4886</v>
      </c>
      <c r="G87" s="17" t="s">
        <v>16</v>
      </c>
      <c r="H87" s="17" t="s">
        <v>42</v>
      </c>
      <c r="I87" s="17" t="s">
        <v>67</v>
      </c>
      <c r="J87" s="21" t="n">
        <f aca="false">VLOOKUP(H87, Reference!$B$4:$D$24, 3, FALSE())</f>
        <v>50</v>
      </c>
      <c r="K87" s="21" t="n">
        <f aca="false">VLOOKUP(G87, Reference!$F$4:$G$11, 2, FALSE())</f>
        <v>15</v>
      </c>
      <c r="L87" s="22" t="n">
        <f aca="false">J87+K87+IF(F87&gt;10000, WRuleAmt10k, 0)+IF(AND(F87&gt;=9000, F87&lt;=9999), WRuleStructure, 0)+IF(MOD(F87,1000)=0, WRuleRound, 0)+IF(OR(VALUE(LEFT(D87,2))&lt;7, VALUE(LEFT(D87,2))&gt;21), WRuleAfterHours, 0)+IF(WEEKDAY(C87,2)&gt;5, WRuleWeekend, 0)+IF(I87="Yes", WRulePEP, 0)+IF(COUNTIFS($C$5:$C$204,C87,$E$5:$E$204,E87)&gt;10, WRuleVelocity, 0)</f>
        <v>65</v>
      </c>
      <c r="M87" s="23" t="str">
        <f aca="false">IF(L87&gt;=SARThreshold,"REVIEW","OK")</f>
        <v>REVIEW</v>
      </c>
    </row>
    <row r="88" customFormat="false" ht="15" hidden="false" customHeight="false" outlineLevel="0" collapsed="false">
      <c r="B88" s="24" t="s">
        <v>242</v>
      </c>
      <c r="C88" s="25" t="n">
        <v>46128</v>
      </c>
      <c r="D88" s="26" t="s">
        <v>243</v>
      </c>
      <c r="E88" s="24" t="s">
        <v>82</v>
      </c>
      <c r="F88" s="27" t="n">
        <v>3000</v>
      </c>
      <c r="G88" s="24" t="s">
        <v>26</v>
      </c>
      <c r="H88" s="24" t="s">
        <v>30</v>
      </c>
      <c r="I88" s="24" t="s">
        <v>67</v>
      </c>
      <c r="J88" s="21" t="n">
        <f aca="false">VLOOKUP(H88, Reference!$B$4:$D$24, 3, FALSE())</f>
        <v>15</v>
      </c>
      <c r="K88" s="21" t="n">
        <f aca="false">VLOOKUP(G88, Reference!$F$4:$G$11, 2, FALSE())</f>
        <v>20</v>
      </c>
      <c r="L88" s="22" t="n">
        <f aca="false">J88+K88+IF(F88&gt;10000, WRuleAmt10k, 0)+IF(AND(F88&gt;=9000, F88&lt;=9999), WRuleStructure, 0)+IF(MOD(F88,1000)=0, WRuleRound, 0)+IF(OR(VALUE(LEFT(D88,2))&lt;7, VALUE(LEFT(D88,2))&gt;21), WRuleAfterHours, 0)+IF(WEEKDAY(C88,2)&gt;5, WRuleWeekend, 0)+IF(I88="Yes", WRulePEP, 0)+IF(COUNTIFS($C$5:$C$204,C88,$E$5:$E$204,E88)&gt;10, WRuleVelocity, 0)</f>
        <v>55</v>
      </c>
      <c r="M88" s="23" t="str">
        <f aca="false">IF(L88&gt;=SARThreshold,"REVIEW","OK")</f>
        <v>OK</v>
      </c>
    </row>
    <row r="89" customFormat="false" ht="15" hidden="false" customHeight="false" outlineLevel="0" collapsed="false">
      <c r="B89" s="17" t="s">
        <v>244</v>
      </c>
      <c r="C89" s="18" t="n">
        <v>46114</v>
      </c>
      <c r="D89" s="19" t="s">
        <v>138</v>
      </c>
      <c r="E89" s="17" t="s">
        <v>133</v>
      </c>
      <c r="F89" s="20" t="n">
        <v>6665</v>
      </c>
      <c r="G89" s="17" t="s">
        <v>26</v>
      </c>
      <c r="H89" s="17" t="s">
        <v>15</v>
      </c>
      <c r="I89" s="17" t="s">
        <v>67</v>
      </c>
      <c r="J89" s="21" t="n">
        <f aca="false">VLOOKUP(H89, Reference!$B$4:$D$24, 3, FALSE())</f>
        <v>5</v>
      </c>
      <c r="K89" s="21" t="n">
        <f aca="false">VLOOKUP(G89, Reference!$F$4:$G$11, 2, FALSE())</f>
        <v>20</v>
      </c>
      <c r="L89" s="22" t="n">
        <f aca="false">J89+K89+IF(F89&gt;10000, WRuleAmt10k, 0)+IF(AND(F89&gt;=9000, F89&lt;=9999), WRuleStructure, 0)+IF(MOD(F89,1000)=0, WRuleRound, 0)+IF(OR(VALUE(LEFT(D89,2))&lt;7, VALUE(LEFT(D89,2))&gt;21), WRuleAfterHours, 0)+IF(WEEKDAY(C89,2)&gt;5, WRuleWeekend, 0)+IF(I89="Yes", WRulePEP, 0)+IF(COUNTIFS($C$5:$C$204,C89,$E$5:$E$204,E89)&gt;10, WRuleVelocity, 0)</f>
        <v>25</v>
      </c>
      <c r="M89" s="23" t="str">
        <f aca="false">IF(L89&gt;=SARThreshold,"REVIEW","OK")</f>
        <v>OK</v>
      </c>
    </row>
    <row r="90" customFormat="false" ht="15" hidden="false" customHeight="false" outlineLevel="0" collapsed="false">
      <c r="B90" s="24" t="s">
        <v>245</v>
      </c>
      <c r="C90" s="25" t="n">
        <v>46134</v>
      </c>
      <c r="D90" s="26" t="s">
        <v>246</v>
      </c>
      <c r="E90" s="24" t="s">
        <v>78</v>
      </c>
      <c r="F90" s="27" t="n">
        <v>5078</v>
      </c>
      <c r="G90" s="24" t="s">
        <v>14</v>
      </c>
      <c r="H90" s="24" t="s">
        <v>25</v>
      </c>
      <c r="I90" s="24" t="s">
        <v>67</v>
      </c>
      <c r="J90" s="21" t="n">
        <f aca="false">VLOOKUP(H90, Reference!$B$4:$D$24, 3, FALSE())</f>
        <v>5</v>
      </c>
      <c r="K90" s="21" t="n">
        <f aca="false">VLOOKUP(G90, Reference!$F$4:$G$11, 2, FALSE())</f>
        <v>15</v>
      </c>
      <c r="L90" s="22" t="n">
        <f aca="false">J90+K90+IF(F90&gt;10000, WRuleAmt10k, 0)+IF(AND(F90&gt;=9000, F90&lt;=9999), WRuleStructure, 0)+IF(MOD(F90,1000)=0, WRuleRound, 0)+IF(OR(VALUE(LEFT(D90,2))&lt;7, VALUE(LEFT(D90,2))&gt;21), WRuleAfterHours, 0)+IF(WEEKDAY(C90,2)&gt;5, WRuleWeekend, 0)+IF(I90="Yes", WRulePEP, 0)+IF(COUNTIFS($C$5:$C$204,C90,$E$5:$E$204,E90)&gt;10, WRuleVelocity, 0)</f>
        <v>30</v>
      </c>
      <c r="M90" s="23" t="str">
        <f aca="false">IF(L90&gt;=SARThreshold,"REVIEW","OK")</f>
        <v>OK</v>
      </c>
    </row>
    <row r="91" customFormat="false" ht="15" hidden="false" customHeight="false" outlineLevel="0" collapsed="false">
      <c r="B91" s="17" t="s">
        <v>247</v>
      </c>
      <c r="C91" s="18" t="n">
        <v>46137</v>
      </c>
      <c r="D91" s="19" t="s">
        <v>248</v>
      </c>
      <c r="E91" s="17" t="s">
        <v>78</v>
      </c>
      <c r="F91" s="20" t="n">
        <v>8661</v>
      </c>
      <c r="G91" s="17" t="s">
        <v>24</v>
      </c>
      <c r="H91" s="17" t="s">
        <v>34</v>
      </c>
      <c r="I91" s="17" t="s">
        <v>67</v>
      </c>
      <c r="J91" s="21" t="n">
        <f aca="false">VLOOKUP(H91, Reference!$B$4:$D$24, 3, FALSE())</f>
        <v>30</v>
      </c>
      <c r="K91" s="21" t="n">
        <f aca="false">VLOOKUP(G91, Reference!$F$4:$G$11, 2, FALSE())</f>
        <v>25</v>
      </c>
      <c r="L91" s="22" t="n">
        <f aca="false">J91+K91+IF(F91&gt;10000, WRuleAmt10k, 0)+IF(AND(F91&gt;=9000, F91&lt;=9999), WRuleStructure, 0)+IF(MOD(F91,1000)=0, WRuleRound, 0)+IF(OR(VALUE(LEFT(D91,2))&lt;7, VALUE(LEFT(D91,2))&gt;21), WRuleAfterHours, 0)+IF(WEEKDAY(C91,2)&gt;5, WRuleWeekend, 0)+IF(I91="Yes", WRulePEP, 0)+IF(COUNTIFS($C$5:$C$204,C91,$E$5:$E$204,E91)&gt;10, WRuleVelocity, 0)</f>
        <v>63</v>
      </c>
      <c r="M91" s="23" t="str">
        <f aca="false">IF(L91&gt;=SARThreshold,"REVIEW","OK")</f>
        <v>REVIEW</v>
      </c>
    </row>
    <row r="92" customFormat="false" ht="15" hidden="false" customHeight="false" outlineLevel="0" collapsed="false">
      <c r="B92" s="24" t="s">
        <v>249</v>
      </c>
      <c r="C92" s="25" t="n">
        <v>46122</v>
      </c>
      <c r="D92" s="26" t="s">
        <v>187</v>
      </c>
      <c r="E92" s="24" t="s">
        <v>82</v>
      </c>
      <c r="F92" s="27" t="n">
        <v>1725</v>
      </c>
      <c r="G92" s="24" t="s">
        <v>18</v>
      </c>
      <c r="H92" s="24" t="s">
        <v>42</v>
      </c>
      <c r="I92" s="24" t="s">
        <v>67</v>
      </c>
      <c r="J92" s="21" t="n">
        <f aca="false">VLOOKUP(H92, Reference!$B$4:$D$24, 3, FALSE())</f>
        <v>50</v>
      </c>
      <c r="K92" s="21" t="n">
        <f aca="false">VLOOKUP(G92, Reference!$F$4:$G$11, 2, FALSE())</f>
        <v>5</v>
      </c>
      <c r="L92" s="22" t="n">
        <f aca="false">J92+K92+IF(F92&gt;10000, WRuleAmt10k, 0)+IF(AND(F92&gt;=9000, F92&lt;=9999), WRuleStructure, 0)+IF(MOD(F92,1000)=0, WRuleRound, 0)+IF(OR(VALUE(LEFT(D92,2))&lt;7, VALUE(LEFT(D92,2))&gt;21), WRuleAfterHours, 0)+IF(WEEKDAY(C92,2)&gt;5, WRuleWeekend, 0)+IF(I92="Yes", WRulePEP, 0)+IF(COUNTIFS($C$5:$C$204,C92,$E$5:$E$204,E92)&gt;10, WRuleVelocity, 0)</f>
        <v>55</v>
      </c>
      <c r="M92" s="23" t="str">
        <f aca="false">IF(L92&gt;=SARThreshold,"REVIEW","OK")</f>
        <v>OK</v>
      </c>
    </row>
    <row r="93" customFormat="false" ht="15" hidden="false" customHeight="false" outlineLevel="0" collapsed="false">
      <c r="B93" s="17" t="s">
        <v>250</v>
      </c>
      <c r="C93" s="18" t="n">
        <v>46134</v>
      </c>
      <c r="D93" s="19" t="s">
        <v>251</v>
      </c>
      <c r="E93" s="17" t="s">
        <v>252</v>
      </c>
      <c r="F93" s="20" t="n">
        <v>2664</v>
      </c>
      <c r="G93" s="17" t="s">
        <v>12</v>
      </c>
      <c r="H93" s="17" t="s">
        <v>33</v>
      </c>
      <c r="I93" s="17" t="s">
        <v>67</v>
      </c>
      <c r="J93" s="21" t="n">
        <f aca="false">VLOOKUP(H93, Reference!$B$4:$D$24, 3, FALSE())</f>
        <v>15</v>
      </c>
      <c r="K93" s="21" t="n">
        <f aca="false">VLOOKUP(G93, Reference!$F$4:$G$11, 2, FALSE())</f>
        <v>10</v>
      </c>
      <c r="L93" s="22" t="n">
        <f aca="false">J93+K93+IF(F93&gt;10000, WRuleAmt10k, 0)+IF(AND(F93&gt;=9000, F93&lt;=9999), WRuleStructure, 0)+IF(MOD(F93,1000)=0, WRuleRound, 0)+IF(OR(VALUE(LEFT(D93,2))&lt;7, VALUE(LEFT(D93,2))&gt;21), WRuleAfterHours, 0)+IF(WEEKDAY(C93,2)&gt;5, WRuleWeekend, 0)+IF(I93="Yes", WRulePEP, 0)+IF(COUNTIFS($C$5:$C$204,C93,$E$5:$E$204,E93)&gt;10, WRuleVelocity, 0)</f>
        <v>35</v>
      </c>
      <c r="M93" s="23" t="str">
        <f aca="false">IF(L93&gt;=SARThreshold,"REVIEW","OK")</f>
        <v>OK</v>
      </c>
    </row>
    <row r="94" customFormat="false" ht="15" hidden="false" customHeight="false" outlineLevel="0" collapsed="false">
      <c r="B94" s="24" t="s">
        <v>253</v>
      </c>
      <c r="C94" s="25" t="n">
        <v>46132</v>
      </c>
      <c r="D94" s="26" t="s">
        <v>254</v>
      </c>
      <c r="E94" s="24" t="s">
        <v>66</v>
      </c>
      <c r="F94" s="27" t="n">
        <v>5000</v>
      </c>
      <c r="G94" s="24" t="s">
        <v>26</v>
      </c>
      <c r="H94" s="24" t="s">
        <v>15</v>
      </c>
      <c r="I94" s="24" t="s">
        <v>67</v>
      </c>
      <c r="J94" s="21" t="n">
        <f aca="false">VLOOKUP(H94, Reference!$B$4:$D$24, 3, FALSE())</f>
        <v>5</v>
      </c>
      <c r="K94" s="21" t="n">
        <f aca="false">VLOOKUP(G94, Reference!$F$4:$G$11, 2, FALSE())</f>
        <v>20</v>
      </c>
      <c r="L94" s="22" t="n">
        <f aca="false">J94+K94+IF(F94&gt;10000, WRuleAmt10k, 0)+IF(AND(F94&gt;=9000, F94&lt;=9999), WRuleStructure, 0)+IF(MOD(F94,1000)=0, WRuleRound, 0)+IF(OR(VALUE(LEFT(D94,2))&lt;7, VALUE(LEFT(D94,2))&gt;21), WRuleAfterHours, 0)+IF(WEEKDAY(C94,2)&gt;5, WRuleWeekend, 0)+IF(I94="Yes", WRulePEP, 0)+IF(COUNTIFS($C$5:$C$204,C94,$E$5:$E$204,E94)&gt;10, WRuleVelocity, 0)</f>
        <v>35</v>
      </c>
      <c r="M94" s="23" t="str">
        <f aca="false">IF(L94&gt;=SARThreshold,"REVIEW","OK")</f>
        <v>OK</v>
      </c>
    </row>
    <row r="95" customFormat="false" ht="15" hidden="false" customHeight="false" outlineLevel="0" collapsed="false">
      <c r="B95" s="17" t="s">
        <v>255</v>
      </c>
      <c r="C95" s="18" t="n">
        <v>46142</v>
      </c>
      <c r="D95" s="19" t="s">
        <v>256</v>
      </c>
      <c r="E95" s="17" t="s">
        <v>104</v>
      </c>
      <c r="F95" s="20" t="n">
        <v>3341</v>
      </c>
      <c r="G95" s="17" t="s">
        <v>24</v>
      </c>
      <c r="H95" s="17" t="s">
        <v>17</v>
      </c>
      <c r="I95" s="17" t="s">
        <v>67</v>
      </c>
      <c r="J95" s="21" t="n">
        <f aca="false">VLOOKUP(H95, Reference!$B$4:$D$24, 3, FALSE())</f>
        <v>5</v>
      </c>
      <c r="K95" s="21" t="n">
        <f aca="false">VLOOKUP(G95, Reference!$F$4:$G$11, 2, FALSE())</f>
        <v>25</v>
      </c>
      <c r="L95" s="22" t="n">
        <f aca="false">J95+K95+IF(F95&gt;10000, WRuleAmt10k, 0)+IF(AND(F95&gt;=9000, F95&lt;=9999), WRuleStructure, 0)+IF(MOD(F95,1000)=0, WRuleRound, 0)+IF(OR(VALUE(LEFT(D95,2))&lt;7, VALUE(LEFT(D95,2))&gt;21), WRuleAfterHours, 0)+IF(WEEKDAY(C95,2)&gt;5, WRuleWeekend, 0)+IF(I95="Yes", WRulePEP, 0)+IF(COUNTIFS($C$5:$C$204,C95,$E$5:$E$204,E95)&gt;10, WRuleVelocity, 0)</f>
        <v>30</v>
      </c>
      <c r="M95" s="23" t="str">
        <f aca="false">IF(L95&gt;=SARThreshold,"REVIEW","OK")</f>
        <v>OK</v>
      </c>
    </row>
    <row r="96" customFormat="false" ht="15" hidden="false" customHeight="false" outlineLevel="0" collapsed="false">
      <c r="B96" s="24" t="s">
        <v>257</v>
      </c>
      <c r="C96" s="25" t="n">
        <v>46133</v>
      </c>
      <c r="D96" s="26" t="s">
        <v>258</v>
      </c>
      <c r="E96" s="24" t="s">
        <v>114</v>
      </c>
      <c r="F96" s="27" t="n">
        <v>9061</v>
      </c>
      <c r="G96" s="24" t="s">
        <v>16</v>
      </c>
      <c r="H96" s="24" t="s">
        <v>29</v>
      </c>
      <c r="I96" s="24" t="s">
        <v>67</v>
      </c>
      <c r="J96" s="21" t="n">
        <f aca="false">VLOOKUP(H96, Reference!$B$4:$D$24, 3, FALSE())</f>
        <v>15</v>
      </c>
      <c r="K96" s="21" t="n">
        <f aca="false">VLOOKUP(G96, Reference!$F$4:$G$11, 2, FALSE())</f>
        <v>15</v>
      </c>
      <c r="L96" s="22" t="n">
        <f aca="false">J96+K96+IF(F96&gt;10000, WRuleAmt10k, 0)+IF(AND(F96&gt;=9000, F96&lt;=9999), WRuleStructure, 0)+IF(MOD(F96,1000)=0, WRuleRound, 0)+IF(OR(VALUE(LEFT(D96,2))&lt;7, VALUE(LEFT(D96,2))&gt;21), WRuleAfterHours, 0)+IF(WEEKDAY(C96,2)&gt;5, WRuleWeekend, 0)+IF(I96="Yes", WRulePEP, 0)+IF(COUNTIFS($C$5:$C$204,C96,$E$5:$E$204,E96)&gt;10, WRuleVelocity, 0)</f>
        <v>70</v>
      </c>
      <c r="M96" s="23" t="str">
        <f aca="false">IF(L96&gt;=SARThreshold,"REVIEW","OK")</f>
        <v>REVIEW</v>
      </c>
    </row>
    <row r="97" customFormat="false" ht="15" hidden="false" customHeight="false" outlineLevel="0" collapsed="false">
      <c r="B97" s="17" t="s">
        <v>259</v>
      </c>
      <c r="C97" s="18" t="n">
        <v>46139</v>
      </c>
      <c r="D97" s="19" t="s">
        <v>187</v>
      </c>
      <c r="E97" s="17" t="s">
        <v>128</v>
      </c>
      <c r="F97" s="20" t="n">
        <v>9705</v>
      </c>
      <c r="G97" s="17" t="s">
        <v>20</v>
      </c>
      <c r="H97" s="17" t="s">
        <v>32</v>
      </c>
      <c r="I97" s="17" t="s">
        <v>67</v>
      </c>
      <c r="J97" s="21" t="n">
        <f aca="false">VLOOKUP(H97, Reference!$B$4:$D$24, 3, FALSE())</f>
        <v>15</v>
      </c>
      <c r="K97" s="21" t="n">
        <f aca="false">VLOOKUP(G97, Reference!$F$4:$G$11, 2, FALSE())</f>
        <v>5</v>
      </c>
      <c r="L97" s="22" t="n">
        <f aca="false">J97+K97+IF(F97&gt;10000, WRuleAmt10k, 0)+IF(AND(F97&gt;=9000, F97&lt;=9999), WRuleStructure, 0)+IF(MOD(F97,1000)=0, WRuleRound, 0)+IF(OR(VALUE(LEFT(D97,2))&lt;7, VALUE(LEFT(D97,2))&gt;21), WRuleAfterHours, 0)+IF(WEEKDAY(C97,2)&gt;5, WRuleWeekend, 0)+IF(I97="Yes", WRulePEP, 0)+IF(COUNTIFS($C$5:$C$204,C97,$E$5:$E$204,E97)&gt;10, WRuleVelocity, 0)</f>
        <v>50</v>
      </c>
      <c r="M97" s="23" t="str">
        <f aca="false">IF(L97&gt;=SARThreshold,"REVIEW","OK")</f>
        <v>OK</v>
      </c>
    </row>
    <row r="98" customFormat="false" ht="15" hidden="false" customHeight="false" outlineLevel="0" collapsed="false">
      <c r="B98" s="24" t="s">
        <v>260</v>
      </c>
      <c r="C98" s="25" t="n">
        <v>46129</v>
      </c>
      <c r="D98" s="26" t="s">
        <v>210</v>
      </c>
      <c r="E98" s="24" t="s">
        <v>101</v>
      </c>
      <c r="F98" s="27" t="n">
        <v>7178</v>
      </c>
      <c r="G98" s="24" t="s">
        <v>22</v>
      </c>
      <c r="H98" s="24" t="s">
        <v>41</v>
      </c>
      <c r="I98" s="24" t="s">
        <v>67</v>
      </c>
      <c r="J98" s="21" t="n">
        <f aca="false">VLOOKUP(H98, Reference!$B$4:$D$24, 3, FALSE())</f>
        <v>50</v>
      </c>
      <c r="K98" s="21" t="n">
        <f aca="false">VLOOKUP(G98, Reference!$F$4:$G$11, 2, FALSE())</f>
        <v>20</v>
      </c>
      <c r="L98" s="22" t="n">
        <f aca="false">J98+K98+IF(F98&gt;10000, WRuleAmt10k, 0)+IF(AND(F98&gt;=9000, F98&lt;=9999), WRuleStructure, 0)+IF(MOD(F98,1000)=0, WRuleRound, 0)+IF(OR(VALUE(LEFT(D98,2))&lt;7, VALUE(LEFT(D98,2))&gt;21), WRuleAfterHours, 0)+IF(WEEKDAY(C98,2)&gt;5, WRuleWeekend, 0)+IF(I98="Yes", WRulePEP, 0)+IF(COUNTIFS($C$5:$C$204,C98,$E$5:$E$204,E98)&gt;10, WRuleVelocity, 0)</f>
        <v>70</v>
      </c>
      <c r="M98" s="23" t="str">
        <f aca="false">IF(L98&gt;=SARThreshold,"REVIEW","OK")</f>
        <v>REVIEW</v>
      </c>
    </row>
    <row r="99" customFormat="false" ht="15" hidden="false" customHeight="false" outlineLevel="0" collapsed="false">
      <c r="B99" s="17" t="s">
        <v>261</v>
      </c>
      <c r="C99" s="18" t="n">
        <v>46115</v>
      </c>
      <c r="D99" s="19" t="s">
        <v>262</v>
      </c>
      <c r="E99" s="17" t="s">
        <v>82</v>
      </c>
      <c r="F99" s="20" t="n">
        <v>4515</v>
      </c>
      <c r="G99" s="17" t="s">
        <v>12</v>
      </c>
      <c r="H99" s="17" t="s">
        <v>21</v>
      </c>
      <c r="I99" s="17" t="s">
        <v>67</v>
      </c>
      <c r="J99" s="21" t="n">
        <f aca="false">VLOOKUP(H99, Reference!$B$4:$D$24, 3, FALSE())</f>
        <v>5</v>
      </c>
      <c r="K99" s="21" t="n">
        <f aca="false">VLOOKUP(G99, Reference!$F$4:$G$11, 2, FALSE())</f>
        <v>10</v>
      </c>
      <c r="L99" s="22" t="n">
        <f aca="false">J99+K99+IF(F99&gt;10000, WRuleAmt10k, 0)+IF(AND(F99&gt;=9000, F99&lt;=9999), WRuleStructure, 0)+IF(MOD(F99,1000)=0, WRuleRound, 0)+IF(OR(VALUE(LEFT(D99,2))&lt;7, VALUE(LEFT(D99,2))&gt;21), WRuleAfterHours, 0)+IF(WEEKDAY(C99,2)&gt;5, WRuleWeekend, 0)+IF(I99="Yes", WRulePEP, 0)+IF(COUNTIFS($C$5:$C$204,C99,$E$5:$E$204,E99)&gt;10, WRuleVelocity, 0)</f>
        <v>15</v>
      </c>
      <c r="M99" s="23" t="str">
        <f aca="false">IF(L99&gt;=SARThreshold,"REVIEW","OK")</f>
        <v>OK</v>
      </c>
    </row>
    <row r="100" customFormat="false" ht="15" hidden="false" customHeight="false" outlineLevel="0" collapsed="false">
      <c r="B100" s="24" t="s">
        <v>263</v>
      </c>
      <c r="C100" s="25" t="n">
        <v>46133</v>
      </c>
      <c r="D100" s="26" t="s">
        <v>106</v>
      </c>
      <c r="E100" s="24" t="s">
        <v>252</v>
      </c>
      <c r="F100" s="27" t="n">
        <v>7241</v>
      </c>
      <c r="G100" s="24" t="s">
        <v>26</v>
      </c>
      <c r="H100" s="24" t="s">
        <v>15</v>
      </c>
      <c r="I100" s="24" t="s">
        <v>67</v>
      </c>
      <c r="J100" s="21" t="n">
        <f aca="false">VLOOKUP(H100, Reference!$B$4:$D$24, 3, FALSE())</f>
        <v>5</v>
      </c>
      <c r="K100" s="21" t="n">
        <f aca="false">VLOOKUP(G100, Reference!$F$4:$G$11, 2, FALSE())</f>
        <v>20</v>
      </c>
      <c r="L100" s="22" t="n">
        <f aca="false">J100+K100+IF(F100&gt;10000, WRuleAmt10k, 0)+IF(AND(F100&gt;=9000, F100&lt;=9999), WRuleStructure, 0)+IF(MOD(F100,1000)=0, WRuleRound, 0)+IF(OR(VALUE(LEFT(D100,2))&lt;7, VALUE(LEFT(D100,2))&gt;21), WRuleAfterHours, 0)+IF(WEEKDAY(C100,2)&gt;5, WRuleWeekend, 0)+IF(I100="Yes", WRulePEP, 0)+IF(COUNTIFS($C$5:$C$204,C100,$E$5:$E$204,E100)&gt;10, WRuleVelocity, 0)</f>
        <v>25</v>
      </c>
      <c r="M100" s="23" t="str">
        <f aca="false">IF(L100&gt;=SARThreshold,"REVIEW","OK")</f>
        <v>OK</v>
      </c>
    </row>
    <row r="101" customFormat="false" ht="15" hidden="false" customHeight="false" outlineLevel="0" collapsed="false">
      <c r="B101" s="17" t="s">
        <v>264</v>
      </c>
      <c r="C101" s="18" t="n">
        <v>46126</v>
      </c>
      <c r="D101" s="19" t="s">
        <v>265</v>
      </c>
      <c r="E101" s="17" t="s">
        <v>117</v>
      </c>
      <c r="F101" s="20" t="n">
        <v>9421</v>
      </c>
      <c r="G101" s="17" t="s">
        <v>26</v>
      </c>
      <c r="H101" s="17" t="s">
        <v>29</v>
      </c>
      <c r="I101" s="17" t="s">
        <v>67</v>
      </c>
      <c r="J101" s="21" t="n">
        <f aca="false">VLOOKUP(H101, Reference!$B$4:$D$24, 3, FALSE())</f>
        <v>15</v>
      </c>
      <c r="K101" s="21" t="n">
        <f aca="false">VLOOKUP(G101, Reference!$F$4:$G$11, 2, FALSE())</f>
        <v>20</v>
      </c>
      <c r="L101" s="22" t="n">
        <f aca="false">J101+K101+IF(F101&gt;10000, WRuleAmt10k, 0)+IF(AND(F101&gt;=9000, F101&lt;=9999), WRuleStructure, 0)+IF(MOD(F101,1000)=0, WRuleRound, 0)+IF(OR(VALUE(LEFT(D101,2))&lt;7, VALUE(LEFT(D101,2))&gt;21), WRuleAfterHours, 0)+IF(WEEKDAY(C101,2)&gt;5, WRuleWeekend, 0)+IF(I101="Yes", WRulePEP, 0)+IF(COUNTIFS($C$5:$C$204,C101,$E$5:$E$204,E101)&gt;10, WRuleVelocity, 0)</f>
        <v>65</v>
      </c>
      <c r="M101" s="23" t="str">
        <f aca="false">IF(L101&gt;=SARThreshold,"REVIEW","OK")</f>
        <v>REVIEW</v>
      </c>
    </row>
    <row r="102" customFormat="false" ht="15" hidden="false" customHeight="false" outlineLevel="0" collapsed="false">
      <c r="B102" s="24" t="s">
        <v>266</v>
      </c>
      <c r="C102" s="25" t="n">
        <v>46125</v>
      </c>
      <c r="D102" s="26" t="s">
        <v>210</v>
      </c>
      <c r="E102" s="24" t="s">
        <v>101</v>
      </c>
      <c r="F102" s="27" t="n">
        <v>5000</v>
      </c>
      <c r="G102" s="24" t="s">
        <v>14</v>
      </c>
      <c r="H102" s="24" t="s">
        <v>32</v>
      </c>
      <c r="I102" s="24" t="s">
        <v>67</v>
      </c>
      <c r="J102" s="21" t="n">
        <f aca="false">VLOOKUP(H102, Reference!$B$4:$D$24, 3, FALSE())</f>
        <v>15</v>
      </c>
      <c r="K102" s="21" t="n">
        <f aca="false">VLOOKUP(G102, Reference!$F$4:$G$11, 2, FALSE())</f>
        <v>15</v>
      </c>
      <c r="L102" s="22" t="n">
        <f aca="false">J102+K102+IF(F102&gt;10000, WRuleAmt10k, 0)+IF(AND(F102&gt;=9000, F102&lt;=9999), WRuleStructure, 0)+IF(MOD(F102,1000)=0, WRuleRound, 0)+IF(OR(VALUE(LEFT(D102,2))&lt;7, VALUE(LEFT(D102,2))&gt;21), WRuleAfterHours, 0)+IF(WEEKDAY(C102,2)&gt;5, WRuleWeekend, 0)+IF(I102="Yes", WRulePEP, 0)+IF(COUNTIFS($C$5:$C$204,C102,$E$5:$E$204,E102)&gt;10, WRuleVelocity, 0)</f>
        <v>40</v>
      </c>
      <c r="M102" s="23" t="str">
        <f aca="false">IF(L102&gt;=SARThreshold,"REVIEW","OK")</f>
        <v>OK</v>
      </c>
    </row>
    <row r="103" customFormat="false" ht="15" hidden="false" customHeight="false" outlineLevel="0" collapsed="false">
      <c r="B103" s="17" t="s">
        <v>267</v>
      </c>
      <c r="C103" s="18" t="n">
        <v>46139</v>
      </c>
      <c r="D103" s="19" t="s">
        <v>268</v>
      </c>
      <c r="E103" s="17" t="s">
        <v>128</v>
      </c>
      <c r="F103" s="20" t="n">
        <v>2000</v>
      </c>
      <c r="G103" s="17" t="s">
        <v>22</v>
      </c>
      <c r="H103" s="17" t="s">
        <v>41</v>
      </c>
      <c r="I103" s="17" t="s">
        <v>67</v>
      </c>
      <c r="J103" s="21" t="n">
        <f aca="false">VLOOKUP(H103, Reference!$B$4:$D$24, 3, FALSE())</f>
        <v>50</v>
      </c>
      <c r="K103" s="21" t="n">
        <f aca="false">VLOOKUP(G103, Reference!$F$4:$G$11, 2, FALSE())</f>
        <v>20</v>
      </c>
      <c r="L103" s="22" t="n">
        <f aca="false">J103+K103+IF(F103&gt;10000, WRuleAmt10k, 0)+IF(AND(F103&gt;=9000, F103&lt;=9999), WRuleStructure, 0)+IF(MOD(F103,1000)=0, WRuleRound, 0)+IF(OR(VALUE(LEFT(D103,2))&lt;7, VALUE(LEFT(D103,2))&gt;21), WRuleAfterHours, 0)+IF(WEEKDAY(C103,2)&gt;5, WRuleWeekend, 0)+IF(I103="Yes", WRulePEP, 0)+IF(COUNTIFS($C$5:$C$204,C103,$E$5:$E$204,E103)&gt;10, WRuleVelocity, 0)</f>
        <v>90</v>
      </c>
      <c r="M103" s="23" t="str">
        <f aca="false">IF(L103&gt;=SARThreshold,"REVIEW","OK")</f>
        <v>REVIEW</v>
      </c>
    </row>
    <row r="104" customFormat="false" ht="15" hidden="false" customHeight="false" outlineLevel="0" collapsed="false">
      <c r="B104" s="24" t="s">
        <v>269</v>
      </c>
      <c r="C104" s="25" t="n">
        <v>46133</v>
      </c>
      <c r="D104" s="26" t="s">
        <v>205</v>
      </c>
      <c r="E104" s="24" t="s">
        <v>70</v>
      </c>
      <c r="F104" s="27" t="n">
        <v>2000</v>
      </c>
      <c r="G104" s="24" t="s">
        <v>20</v>
      </c>
      <c r="H104" s="24" t="s">
        <v>34</v>
      </c>
      <c r="I104" s="24" t="s">
        <v>67</v>
      </c>
      <c r="J104" s="21" t="n">
        <f aca="false">VLOOKUP(H104, Reference!$B$4:$D$24, 3, FALSE())</f>
        <v>30</v>
      </c>
      <c r="K104" s="21" t="n">
        <f aca="false">VLOOKUP(G104, Reference!$F$4:$G$11, 2, FALSE())</f>
        <v>5</v>
      </c>
      <c r="L104" s="22" t="n">
        <f aca="false">J104+K104+IF(F104&gt;10000, WRuleAmt10k, 0)+IF(AND(F104&gt;=9000, F104&lt;=9999), WRuleStructure, 0)+IF(MOD(F104,1000)=0, WRuleRound, 0)+IF(OR(VALUE(LEFT(D104,2))&lt;7, VALUE(LEFT(D104,2))&gt;21), WRuleAfterHours, 0)+IF(WEEKDAY(C104,2)&gt;5, WRuleWeekend, 0)+IF(I104="Yes", WRulePEP, 0)+IF(COUNTIFS($C$5:$C$204,C104,$E$5:$E$204,E104)&gt;10, WRuleVelocity, 0)</f>
        <v>45</v>
      </c>
      <c r="M104" s="23" t="str">
        <f aca="false">IF(L104&gt;=SARThreshold,"REVIEW","OK")</f>
        <v>OK</v>
      </c>
    </row>
    <row r="105" customFormat="false" ht="15" hidden="false" customHeight="false" outlineLevel="0" collapsed="false">
      <c r="B105" s="17" t="s">
        <v>270</v>
      </c>
      <c r="C105" s="18" t="n">
        <v>46128</v>
      </c>
      <c r="D105" s="19" t="s">
        <v>271</v>
      </c>
      <c r="E105" s="17" t="s">
        <v>78</v>
      </c>
      <c r="F105" s="20" t="n">
        <v>9162</v>
      </c>
      <c r="G105" s="17" t="s">
        <v>20</v>
      </c>
      <c r="H105" s="17" t="s">
        <v>38</v>
      </c>
      <c r="I105" s="17" t="s">
        <v>79</v>
      </c>
      <c r="J105" s="21" t="n">
        <f aca="false">VLOOKUP(H105, Reference!$B$4:$D$24, 3, FALSE())</f>
        <v>30</v>
      </c>
      <c r="K105" s="21" t="n">
        <f aca="false">VLOOKUP(G105, Reference!$F$4:$G$11, 2, FALSE())</f>
        <v>5</v>
      </c>
      <c r="L105" s="22" t="n">
        <f aca="false">J105+K105+IF(F105&gt;10000, WRuleAmt10k, 0)+IF(AND(F105&gt;=9000, F105&lt;=9999), WRuleStructure, 0)+IF(MOD(F105,1000)=0, WRuleRound, 0)+IF(OR(VALUE(LEFT(D105,2))&lt;7, VALUE(LEFT(D105,2))&gt;21), WRuleAfterHours, 0)+IF(WEEKDAY(C105,2)&gt;5, WRuleWeekend, 0)+IF(I105="Yes", WRulePEP, 0)+IF(COUNTIFS($C$5:$C$204,C105,$E$5:$E$204,E105)&gt;10, WRuleVelocity, 0)</f>
        <v>100</v>
      </c>
      <c r="M105" s="23" t="str">
        <f aca="false">IF(L105&gt;=SARThreshold,"REVIEW","OK")</f>
        <v>REVIEW</v>
      </c>
    </row>
    <row r="106" customFormat="false" ht="15" hidden="false" customHeight="false" outlineLevel="0" collapsed="false">
      <c r="B106" s="24" t="s">
        <v>272</v>
      </c>
      <c r="C106" s="25" t="n">
        <v>46126</v>
      </c>
      <c r="D106" s="26" t="s">
        <v>273</v>
      </c>
      <c r="E106" s="24" t="s">
        <v>128</v>
      </c>
      <c r="F106" s="27" t="n">
        <v>2622</v>
      </c>
      <c r="G106" s="24" t="s">
        <v>26</v>
      </c>
      <c r="H106" s="24" t="s">
        <v>29</v>
      </c>
      <c r="I106" s="24" t="s">
        <v>67</v>
      </c>
      <c r="J106" s="21" t="n">
        <f aca="false">VLOOKUP(H106, Reference!$B$4:$D$24, 3, FALSE())</f>
        <v>15</v>
      </c>
      <c r="K106" s="21" t="n">
        <f aca="false">VLOOKUP(G106, Reference!$F$4:$G$11, 2, FALSE())</f>
        <v>20</v>
      </c>
      <c r="L106" s="22" t="n">
        <f aca="false">J106+K106+IF(F106&gt;10000, WRuleAmt10k, 0)+IF(AND(F106&gt;=9000, F106&lt;=9999), WRuleStructure, 0)+IF(MOD(F106,1000)=0, WRuleRound, 0)+IF(OR(VALUE(LEFT(D106,2))&lt;7, VALUE(LEFT(D106,2))&gt;21), WRuleAfterHours, 0)+IF(WEEKDAY(C106,2)&gt;5, WRuleWeekend, 0)+IF(I106="Yes", WRulePEP, 0)+IF(COUNTIFS($C$5:$C$204,C106,$E$5:$E$204,E106)&gt;10, WRuleVelocity, 0)</f>
        <v>45</v>
      </c>
      <c r="M106" s="23" t="str">
        <f aca="false">IF(L106&gt;=SARThreshold,"REVIEW","OK")</f>
        <v>OK</v>
      </c>
    </row>
    <row r="107" customFormat="false" ht="15" hidden="false" customHeight="false" outlineLevel="0" collapsed="false">
      <c r="B107" s="17" t="s">
        <v>274</v>
      </c>
      <c r="C107" s="18" t="n">
        <v>46121</v>
      </c>
      <c r="D107" s="19" t="s">
        <v>275</v>
      </c>
      <c r="E107" s="17" t="s">
        <v>136</v>
      </c>
      <c r="F107" s="20" t="n">
        <v>9564</v>
      </c>
      <c r="G107" s="17" t="s">
        <v>16</v>
      </c>
      <c r="H107" s="17" t="s">
        <v>32</v>
      </c>
      <c r="I107" s="17" t="s">
        <v>67</v>
      </c>
      <c r="J107" s="21" t="n">
        <f aca="false">VLOOKUP(H107, Reference!$B$4:$D$24, 3, FALSE())</f>
        <v>15</v>
      </c>
      <c r="K107" s="21" t="n">
        <f aca="false">VLOOKUP(G107, Reference!$F$4:$G$11, 2, FALSE())</f>
        <v>15</v>
      </c>
      <c r="L107" s="22" t="n">
        <f aca="false">J107+K107+IF(F107&gt;10000, WRuleAmt10k, 0)+IF(AND(F107&gt;=9000, F107&lt;=9999), WRuleStructure, 0)+IF(MOD(F107,1000)=0, WRuleRound, 0)+IF(OR(VALUE(LEFT(D107,2))&lt;7, VALUE(LEFT(D107,2))&gt;21), WRuleAfterHours, 0)+IF(WEEKDAY(C107,2)&gt;5, WRuleWeekend, 0)+IF(I107="Yes", WRulePEP, 0)+IF(COUNTIFS($C$5:$C$204,C107,$E$5:$E$204,E107)&gt;10, WRuleVelocity, 0)</f>
        <v>60</v>
      </c>
      <c r="M107" s="23" t="str">
        <f aca="false">IF(L107&gt;=SARThreshold,"REVIEW","OK")</f>
        <v>REVIEW</v>
      </c>
    </row>
    <row r="108" customFormat="false" ht="15" hidden="false" customHeight="false" outlineLevel="0" collapsed="false">
      <c r="B108" s="24" t="s">
        <v>276</v>
      </c>
      <c r="C108" s="25" t="n">
        <v>46132</v>
      </c>
      <c r="D108" s="26" t="s">
        <v>109</v>
      </c>
      <c r="E108" s="24" t="s">
        <v>117</v>
      </c>
      <c r="F108" s="27" t="n">
        <v>50000</v>
      </c>
      <c r="G108" s="24" t="s">
        <v>22</v>
      </c>
      <c r="H108" s="24" t="s">
        <v>37</v>
      </c>
      <c r="I108" s="24" t="s">
        <v>67</v>
      </c>
      <c r="J108" s="21" t="n">
        <f aca="false">VLOOKUP(H108, Reference!$B$4:$D$24, 3, FALSE())</f>
        <v>30</v>
      </c>
      <c r="K108" s="21" t="n">
        <f aca="false">VLOOKUP(G108, Reference!$F$4:$G$11, 2, FALSE())</f>
        <v>20</v>
      </c>
      <c r="L108" s="22" t="n">
        <f aca="false">J108+K108+IF(F108&gt;10000, WRuleAmt10k, 0)+IF(AND(F108&gt;=9000, F108&lt;=9999), WRuleStructure, 0)+IF(MOD(F108,1000)=0, WRuleRound, 0)+IF(OR(VALUE(LEFT(D108,2))&lt;7, VALUE(LEFT(D108,2))&gt;21), WRuleAfterHours, 0)+IF(WEEKDAY(C108,2)&gt;5, WRuleWeekend, 0)+IF(I108="Yes", WRulePEP, 0)+IF(COUNTIFS($C$5:$C$204,C108,$E$5:$E$204,E108)&gt;10, WRuleVelocity, 0)</f>
        <v>85</v>
      </c>
      <c r="M108" s="23" t="str">
        <f aca="false">IF(L108&gt;=SARThreshold,"REVIEW","OK")</f>
        <v>REVIEW</v>
      </c>
    </row>
    <row r="109" customFormat="false" ht="15" hidden="false" customHeight="false" outlineLevel="0" collapsed="false">
      <c r="B109" s="17" t="s">
        <v>277</v>
      </c>
      <c r="C109" s="18" t="n">
        <v>46113</v>
      </c>
      <c r="D109" s="19" t="s">
        <v>278</v>
      </c>
      <c r="E109" s="17" t="s">
        <v>114</v>
      </c>
      <c r="F109" s="20" t="n">
        <v>8122</v>
      </c>
      <c r="G109" s="17" t="s">
        <v>16</v>
      </c>
      <c r="H109" s="17" t="s">
        <v>34</v>
      </c>
      <c r="I109" s="17" t="s">
        <v>67</v>
      </c>
      <c r="J109" s="21" t="n">
        <f aca="false">VLOOKUP(H109, Reference!$B$4:$D$24, 3, FALSE())</f>
        <v>30</v>
      </c>
      <c r="K109" s="21" t="n">
        <f aca="false">VLOOKUP(G109, Reference!$F$4:$G$11, 2, FALSE())</f>
        <v>15</v>
      </c>
      <c r="L109" s="22" t="n">
        <f aca="false">J109+K109+IF(F109&gt;10000, WRuleAmt10k, 0)+IF(AND(F109&gt;=9000, F109&lt;=9999), WRuleStructure, 0)+IF(MOD(F109,1000)=0, WRuleRound, 0)+IF(OR(VALUE(LEFT(D109,2))&lt;7, VALUE(LEFT(D109,2))&gt;21), WRuleAfterHours, 0)+IF(WEEKDAY(C109,2)&gt;5, WRuleWeekend, 0)+IF(I109="Yes", WRulePEP, 0)+IF(COUNTIFS($C$5:$C$204,C109,$E$5:$E$204,E109)&gt;10, WRuleVelocity, 0)</f>
        <v>45</v>
      </c>
      <c r="M109" s="23" t="str">
        <f aca="false">IF(L109&gt;=SARThreshold,"REVIEW","OK")</f>
        <v>OK</v>
      </c>
    </row>
    <row r="110" customFormat="false" ht="15" hidden="false" customHeight="false" outlineLevel="0" collapsed="false">
      <c r="B110" s="24" t="s">
        <v>279</v>
      </c>
      <c r="C110" s="25" t="n">
        <v>46124</v>
      </c>
      <c r="D110" s="26" t="s">
        <v>280</v>
      </c>
      <c r="E110" s="24" t="s">
        <v>85</v>
      </c>
      <c r="F110" s="27" t="n">
        <v>5372</v>
      </c>
      <c r="G110" s="24" t="s">
        <v>18</v>
      </c>
      <c r="H110" s="24" t="s">
        <v>25</v>
      </c>
      <c r="I110" s="24" t="s">
        <v>67</v>
      </c>
      <c r="J110" s="21" t="n">
        <f aca="false">VLOOKUP(H110, Reference!$B$4:$D$24, 3, FALSE())</f>
        <v>5</v>
      </c>
      <c r="K110" s="21" t="n">
        <f aca="false">VLOOKUP(G110, Reference!$F$4:$G$11, 2, FALSE())</f>
        <v>5</v>
      </c>
      <c r="L110" s="22" t="n">
        <f aca="false">J110+K110+IF(F110&gt;10000, WRuleAmt10k, 0)+IF(AND(F110&gt;=9000, F110&lt;=9999), WRuleStructure, 0)+IF(MOD(F110,1000)=0, WRuleRound, 0)+IF(OR(VALUE(LEFT(D110,2))&lt;7, VALUE(LEFT(D110,2))&gt;21), WRuleAfterHours, 0)+IF(WEEKDAY(C110,2)&gt;5, WRuleWeekend, 0)+IF(I110="Yes", WRulePEP, 0)+IF(COUNTIFS($C$5:$C$204,C110,$E$5:$E$204,E110)&gt;10, WRuleVelocity, 0)</f>
        <v>18</v>
      </c>
      <c r="M110" s="23" t="str">
        <f aca="false">IF(L110&gt;=SARThreshold,"REVIEW","OK")</f>
        <v>OK</v>
      </c>
    </row>
    <row r="111" customFormat="false" ht="15" hidden="false" customHeight="false" outlineLevel="0" collapsed="false">
      <c r="B111" s="17" t="s">
        <v>281</v>
      </c>
      <c r="C111" s="18" t="n">
        <v>46120</v>
      </c>
      <c r="D111" s="19" t="s">
        <v>282</v>
      </c>
      <c r="E111" s="17" t="s">
        <v>283</v>
      </c>
      <c r="F111" s="20" t="n">
        <v>6346</v>
      </c>
      <c r="G111" s="17" t="s">
        <v>24</v>
      </c>
      <c r="H111" s="17" t="s">
        <v>42</v>
      </c>
      <c r="I111" s="17" t="s">
        <v>67</v>
      </c>
      <c r="J111" s="21" t="n">
        <f aca="false">VLOOKUP(H111, Reference!$B$4:$D$24, 3, FALSE())</f>
        <v>50</v>
      </c>
      <c r="K111" s="21" t="n">
        <f aca="false">VLOOKUP(G111, Reference!$F$4:$G$11, 2, FALSE())</f>
        <v>25</v>
      </c>
      <c r="L111" s="22" t="n">
        <f aca="false">J111+K111+IF(F111&gt;10000, WRuleAmt10k, 0)+IF(AND(F111&gt;=9000, F111&lt;=9999), WRuleStructure, 0)+IF(MOD(F111,1000)=0, WRuleRound, 0)+IF(OR(VALUE(LEFT(D111,2))&lt;7, VALUE(LEFT(D111,2))&gt;21), WRuleAfterHours, 0)+IF(WEEKDAY(C111,2)&gt;5, WRuleWeekend, 0)+IF(I111="Yes", WRulePEP, 0)+IF(COUNTIFS($C$5:$C$204,C111,$E$5:$E$204,E111)&gt;10, WRuleVelocity, 0)</f>
        <v>75</v>
      </c>
      <c r="M111" s="23" t="str">
        <f aca="false">IF(L111&gt;=SARThreshold,"REVIEW","OK")</f>
        <v>REVIEW</v>
      </c>
    </row>
    <row r="112" customFormat="false" ht="15" hidden="false" customHeight="false" outlineLevel="0" collapsed="false">
      <c r="B112" s="24" t="s">
        <v>284</v>
      </c>
      <c r="C112" s="25" t="n">
        <v>46128</v>
      </c>
      <c r="D112" s="26" t="s">
        <v>285</v>
      </c>
      <c r="E112" s="24" t="s">
        <v>75</v>
      </c>
      <c r="F112" s="27" t="n">
        <v>1744</v>
      </c>
      <c r="G112" s="24" t="s">
        <v>26</v>
      </c>
      <c r="H112" s="24" t="s">
        <v>17</v>
      </c>
      <c r="I112" s="24" t="s">
        <v>67</v>
      </c>
      <c r="J112" s="21" t="n">
        <f aca="false">VLOOKUP(H112, Reference!$B$4:$D$24, 3, FALSE())</f>
        <v>5</v>
      </c>
      <c r="K112" s="21" t="n">
        <f aca="false">VLOOKUP(G112, Reference!$F$4:$G$11, 2, FALSE())</f>
        <v>20</v>
      </c>
      <c r="L112" s="22" t="n">
        <f aca="false">J112+K112+IF(F112&gt;10000, WRuleAmt10k, 0)+IF(AND(F112&gt;=9000, F112&lt;=9999), WRuleStructure, 0)+IF(MOD(F112,1000)=0, WRuleRound, 0)+IF(OR(VALUE(LEFT(D112,2))&lt;7, VALUE(LEFT(D112,2))&gt;21), WRuleAfterHours, 0)+IF(WEEKDAY(C112,2)&gt;5, WRuleWeekend, 0)+IF(I112="Yes", WRulePEP, 0)+IF(COUNTIFS($C$5:$C$204,C112,$E$5:$E$204,E112)&gt;10, WRuleVelocity, 0)</f>
        <v>35</v>
      </c>
      <c r="M112" s="23" t="str">
        <f aca="false">IF(L112&gt;=SARThreshold,"REVIEW","OK")</f>
        <v>OK</v>
      </c>
    </row>
    <row r="113" customFormat="false" ht="15" hidden="false" customHeight="false" outlineLevel="0" collapsed="false">
      <c r="B113" s="17" t="s">
        <v>286</v>
      </c>
      <c r="C113" s="18" t="n">
        <v>46127</v>
      </c>
      <c r="D113" s="19" t="s">
        <v>191</v>
      </c>
      <c r="E113" s="17" t="s">
        <v>287</v>
      </c>
      <c r="F113" s="20" t="n">
        <v>2629</v>
      </c>
      <c r="G113" s="17" t="s">
        <v>14</v>
      </c>
      <c r="H113" s="17" t="s">
        <v>36</v>
      </c>
      <c r="I113" s="17" t="s">
        <v>67</v>
      </c>
      <c r="J113" s="21" t="n">
        <f aca="false">VLOOKUP(H113, Reference!$B$4:$D$24, 3, FALSE())</f>
        <v>30</v>
      </c>
      <c r="K113" s="21" t="n">
        <f aca="false">VLOOKUP(G113, Reference!$F$4:$G$11, 2, FALSE())</f>
        <v>15</v>
      </c>
      <c r="L113" s="22" t="n">
        <f aca="false">J113+K113+IF(F113&gt;10000, WRuleAmt10k, 0)+IF(AND(F113&gt;=9000, F113&lt;=9999), WRuleStructure, 0)+IF(MOD(F113,1000)=0, WRuleRound, 0)+IF(OR(VALUE(LEFT(D113,2))&lt;7, VALUE(LEFT(D113,2))&gt;21), WRuleAfterHours, 0)+IF(WEEKDAY(C113,2)&gt;5, WRuleWeekend, 0)+IF(I113="Yes", WRulePEP, 0)+IF(COUNTIFS($C$5:$C$204,C113,$E$5:$E$204,E113)&gt;10, WRuleVelocity, 0)</f>
        <v>55</v>
      </c>
      <c r="M113" s="23" t="str">
        <f aca="false">IF(L113&gt;=SARThreshold,"REVIEW","OK")</f>
        <v>OK</v>
      </c>
    </row>
    <row r="114" customFormat="false" ht="15" hidden="false" customHeight="false" outlineLevel="0" collapsed="false">
      <c r="B114" s="24" t="s">
        <v>288</v>
      </c>
      <c r="C114" s="25" t="n">
        <v>46121</v>
      </c>
      <c r="D114" s="26" t="s">
        <v>170</v>
      </c>
      <c r="E114" s="24" t="s">
        <v>224</v>
      </c>
      <c r="F114" s="27" t="n">
        <v>25000</v>
      </c>
      <c r="G114" s="24" t="s">
        <v>24</v>
      </c>
      <c r="H114" s="24" t="s">
        <v>30</v>
      </c>
      <c r="I114" s="24" t="s">
        <v>67</v>
      </c>
      <c r="J114" s="21" t="n">
        <f aca="false">VLOOKUP(H114, Reference!$B$4:$D$24, 3, FALSE())</f>
        <v>15</v>
      </c>
      <c r="K114" s="21" t="n">
        <f aca="false">VLOOKUP(G114, Reference!$F$4:$G$11, 2, FALSE())</f>
        <v>25</v>
      </c>
      <c r="L114" s="22" t="n">
        <f aca="false">J114+K114+IF(F114&gt;10000, WRuleAmt10k, 0)+IF(AND(F114&gt;=9000, F114&lt;=9999), WRuleStructure, 0)+IF(MOD(F114,1000)=0, WRuleRound, 0)+IF(OR(VALUE(LEFT(D114,2))&lt;7, VALUE(LEFT(D114,2))&gt;21), WRuleAfterHours, 0)+IF(WEEKDAY(C114,2)&gt;5, WRuleWeekend, 0)+IF(I114="Yes", WRulePEP, 0)+IF(COUNTIFS($C$5:$C$204,C114,$E$5:$E$204,E114)&gt;10, WRuleVelocity, 0)</f>
        <v>75</v>
      </c>
      <c r="M114" s="23" t="str">
        <f aca="false">IF(L114&gt;=SARThreshold,"REVIEW","OK")</f>
        <v>REVIEW</v>
      </c>
    </row>
    <row r="115" customFormat="false" ht="15" hidden="false" customHeight="false" outlineLevel="0" collapsed="false">
      <c r="B115" s="17" t="s">
        <v>289</v>
      </c>
      <c r="C115" s="18" t="n">
        <v>46141</v>
      </c>
      <c r="D115" s="19" t="s">
        <v>290</v>
      </c>
      <c r="E115" s="17" t="s">
        <v>142</v>
      </c>
      <c r="F115" s="20" t="n">
        <v>3946</v>
      </c>
      <c r="G115" s="17" t="s">
        <v>20</v>
      </c>
      <c r="H115" s="17" t="s">
        <v>25</v>
      </c>
      <c r="I115" s="17" t="s">
        <v>67</v>
      </c>
      <c r="J115" s="21" t="n">
        <f aca="false">VLOOKUP(H115, Reference!$B$4:$D$24, 3, FALSE())</f>
        <v>5</v>
      </c>
      <c r="K115" s="21" t="n">
        <f aca="false">VLOOKUP(G115, Reference!$F$4:$G$11, 2, FALSE())</f>
        <v>5</v>
      </c>
      <c r="L115" s="22" t="n">
        <f aca="false">J115+K115+IF(F115&gt;10000, WRuleAmt10k, 0)+IF(AND(F115&gt;=9000, F115&lt;=9999), WRuleStructure, 0)+IF(MOD(F115,1000)=0, WRuleRound, 0)+IF(OR(VALUE(LEFT(D115,2))&lt;7, VALUE(LEFT(D115,2))&gt;21), WRuleAfterHours, 0)+IF(WEEKDAY(C115,2)&gt;5, WRuleWeekend, 0)+IF(I115="Yes", WRulePEP, 0)+IF(COUNTIFS($C$5:$C$204,C115,$E$5:$E$204,E115)&gt;10, WRuleVelocity, 0)</f>
        <v>10</v>
      </c>
      <c r="M115" s="23" t="str">
        <f aca="false">IF(L115&gt;=SARThreshold,"REVIEW","OK")</f>
        <v>OK</v>
      </c>
    </row>
    <row r="116" customFormat="false" ht="15" hidden="false" customHeight="false" outlineLevel="0" collapsed="false">
      <c r="B116" s="24" t="s">
        <v>291</v>
      </c>
      <c r="C116" s="25" t="n">
        <v>46126</v>
      </c>
      <c r="D116" s="26" t="s">
        <v>243</v>
      </c>
      <c r="E116" s="24" t="s">
        <v>128</v>
      </c>
      <c r="F116" s="27" t="n">
        <v>9306</v>
      </c>
      <c r="G116" s="24" t="s">
        <v>12</v>
      </c>
      <c r="H116" s="24" t="s">
        <v>13</v>
      </c>
      <c r="I116" s="24" t="s">
        <v>67</v>
      </c>
      <c r="J116" s="21" t="n">
        <f aca="false">VLOOKUP(H116, Reference!$B$4:$D$24, 3, FALSE())</f>
        <v>5</v>
      </c>
      <c r="K116" s="21" t="n">
        <f aca="false">VLOOKUP(G116, Reference!$F$4:$G$11, 2, FALSE())</f>
        <v>10</v>
      </c>
      <c r="L116" s="22" t="n">
        <f aca="false">J116+K116+IF(F116&gt;10000, WRuleAmt10k, 0)+IF(AND(F116&gt;=9000, F116&lt;=9999), WRuleStructure, 0)+IF(MOD(F116,1000)=0, WRuleRound, 0)+IF(OR(VALUE(LEFT(D116,2))&lt;7, VALUE(LEFT(D116,2))&gt;21), WRuleAfterHours, 0)+IF(WEEKDAY(C116,2)&gt;5, WRuleWeekend, 0)+IF(I116="Yes", WRulePEP, 0)+IF(COUNTIFS($C$5:$C$204,C116,$E$5:$E$204,E116)&gt;10, WRuleVelocity, 0)</f>
        <v>55</v>
      </c>
      <c r="M116" s="23" t="str">
        <f aca="false">IF(L116&gt;=SARThreshold,"REVIEW","OK")</f>
        <v>OK</v>
      </c>
    </row>
    <row r="117" customFormat="false" ht="15" hidden="false" customHeight="false" outlineLevel="0" collapsed="false">
      <c r="B117" s="17" t="s">
        <v>292</v>
      </c>
      <c r="C117" s="18" t="n">
        <v>46114</v>
      </c>
      <c r="D117" s="19" t="s">
        <v>278</v>
      </c>
      <c r="E117" s="17" t="s">
        <v>287</v>
      </c>
      <c r="F117" s="20" t="n">
        <v>9543</v>
      </c>
      <c r="G117" s="17" t="s">
        <v>24</v>
      </c>
      <c r="H117" s="17" t="s">
        <v>39</v>
      </c>
      <c r="I117" s="17" t="s">
        <v>67</v>
      </c>
      <c r="J117" s="21" t="n">
        <f aca="false">VLOOKUP(H117, Reference!$B$4:$D$24, 3, FALSE())</f>
        <v>50</v>
      </c>
      <c r="K117" s="21" t="n">
        <f aca="false">VLOOKUP(G117, Reference!$F$4:$G$11, 2, FALSE())</f>
        <v>25</v>
      </c>
      <c r="L117" s="22" t="n">
        <f aca="false">J117+K117+IF(F117&gt;10000, WRuleAmt10k, 0)+IF(AND(F117&gt;=9000, F117&lt;=9999), WRuleStructure, 0)+IF(MOD(F117,1000)=0, WRuleRound, 0)+IF(OR(VALUE(LEFT(D117,2))&lt;7, VALUE(LEFT(D117,2))&gt;21), WRuleAfterHours, 0)+IF(WEEKDAY(C117,2)&gt;5, WRuleWeekend, 0)+IF(I117="Yes", WRulePEP, 0)+IF(COUNTIFS($C$5:$C$204,C117,$E$5:$E$204,E117)&gt;10, WRuleVelocity, 0)</f>
        <v>105</v>
      </c>
      <c r="M117" s="23" t="str">
        <f aca="false">IF(L117&gt;=SARThreshold,"REVIEW","OK")</f>
        <v>REVIEW</v>
      </c>
    </row>
    <row r="118" customFormat="false" ht="15" hidden="false" customHeight="false" outlineLevel="0" collapsed="false">
      <c r="B118" s="24" t="s">
        <v>293</v>
      </c>
      <c r="C118" s="25" t="n">
        <v>46118</v>
      </c>
      <c r="D118" s="26" t="s">
        <v>294</v>
      </c>
      <c r="E118" s="24" t="s">
        <v>88</v>
      </c>
      <c r="F118" s="27" t="n">
        <v>4045</v>
      </c>
      <c r="G118" s="24" t="s">
        <v>26</v>
      </c>
      <c r="H118" s="24" t="s">
        <v>39</v>
      </c>
      <c r="I118" s="24" t="s">
        <v>67</v>
      </c>
      <c r="J118" s="21" t="n">
        <f aca="false">VLOOKUP(H118, Reference!$B$4:$D$24, 3, FALSE())</f>
        <v>50</v>
      </c>
      <c r="K118" s="21" t="n">
        <f aca="false">VLOOKUP(G118, Reference!$F$4:$G$11, 2, FALSE())</f>
        <v>20</v>
      </c>
      <c r="L118" s="22" t="n">
        <f aca="false">J118+K118+IF(F118&gt;10000, WRuleAmt10k, 0)+IF(AND(F118&gt;=9000, F118&lt;=9999), WRuleStructure, 0)+IF(MOD(F118,1000)=0, WRuleRound, 0)+IF(OR(VALUE(LEFT(D118,2))&lt;7, VALUE(LEFT(D118,2))&gt;21), WRuleAfterHours, 0)+IF(WEEKDAY(C118,2)&gt;5, WRuleWeekend, 0)+IF(I118="Yes", WRulePEP, 0)+IF(COUNTIFS($C$5:$C$204,C118,$E$5:$E$204,E118)&gt;10, WRuleVelocity, 0)</f>
        <v>80</v>
      </c>
      <c r="M118" s="23" t="str">
        <f aca="false">IF(L118&gt;=SARThreshold,"REVIEW","OK")</f>
        <v>REVIEW</v>
      </c>
    </row>
    <row r="119" customFormat="false" ht="15" hidden="false" customHeight="false" outlineLevel="0" collapsed="false">
      <c r="B119" s="17" t="s">
        <v>295</v>
      </c>
      <c r="C119" s="18" t="n">
        <v>46127</v>
      </c>
      <c r="D119" s="19" t="s">
        <v>119</v>
      </c>
      <c r="E119" s="17" t="s">
        <v>95</v>
      </c>
      <c r="F119" s="20" t="n">
        <v>7722</v>
      </c>
      <c r="G119" s="17" t="s">
        <v>20</v>
      </c>
      <c r="H119" s="17" t="s">
        <v>38</v>
      </c>
      <c r="I119" s="17" t="s">
        <v>67</v>
      </c>
      <c r="J119" s="21" t="n">
        <f aca="false">VLOOKUP(H119, Reference!$B$4:$D$24, 3, FALSE())</f>
        <v>30</v>
      </c>
      <c r="K119" s="21" t="n">
        <f aca="false">VLOOKUP(G119, Reference!$F$4:$G$11, 2, FALSE())</f>
        <v>5</v>
      </c>
      <c r="L119" s="22" t="n">
        <f aca="false">J119+K119+IF(F119&gt;10000, WRuleAmt10k, 0)+IF(AND(F119&gt;=9000, F119&lt;=9999), WRuleStructure, 0)+IF(MOD(F119,1000)=0, WRuleRound, 0)+IF(OR(VALUE(LEFT(D119,2))&lt;7, VALUE(LEFT(D119,2))&gt;21), WRuleAfterHours, 0)+IF(WEEKDAY(C119,2)&gt;5, WRuleWeekend, 0)+IF(I119="Yes", WRulePEP, 0)+IF(COUNTIFS($C$5:$C$204,C119,$E$5:$E$204,E119)&gt;10, WRuleVelocity, 0)</f>
        <v>35</v>
      </c>
      <c r="M119" s="23" t="str">
        <f aca="false">IF(L119&gt;=SARThreshold,"REVIEW","OK")</f>
        <v>OK</v>
      </c>
    </row>
    <row r="120" customFormat="false" ht="15" hidden="false" customHeight="false" outlineLevel="0" collapsed="false">
      <c r="B120" s="24" t="s">
        <v>296</v>
      </c>
      <c r="C120" s="25" t="n">
        <v>46127</v>
      </c>
      <c r="D120" s="26" t="s">
        <v>77</v>
      </c>
      <c r="E120" s="24" t="s">
        <v>224</v>
      </c>
      <c r="F120" s="27" t="n">
        <v>4197</v>
      </c>
      <c r="G120" s="24" t="s">
        <v>26</v>
      </c>
      <c r="H120" s="24" t="s">
        <v>29</v>
      </c>
      <c r="I120" s="24" t="s">
        <v>67</v>
      </c>
      <c r="J120" s="21" t="n">
        <f aca="false">VLOOKUP(H120, Reference!$B$4:$D$24, 3, FALSE())</f>
        <v>15</v>
      </c>
      <c r="K120" s="21" t="n">
        <f aca="false">VLOOKUP(G120, Reference!$F$4:$G$11, 2, FALSE())</f>
        <v>20</v>
      </c>
      <c r="L120" s="22" t="n">
        <f aca="false">J120+K120+IF(F120&gt;10000, WRuleAmt10k, 0)+IF(AND(F120&gt;=9000, F120&lt;=9999), WRuleStructure, 0)+IF(MOD(F120,1000)=0, WRuleRound, 0)+IF(OR(VALUE(LEFT(D120,2))&lt;7, VALUE(LEFT(D120,2))&gt;21), WRuleAfterHours, 0)+IF(WEEKDAY(C120,2)&gt;5, WRuleWeekend, 0)+IF(I120="Yes", WRulePEP, 0)+IF(COUNTIFS($C$5:$C$204,C120,$E$5:$E$204,E120)&gt;10, WRuleVelocity, 0)</f>
        <v>35</v>
      </c>
      <c r="M120" s="23" t="str">
        <f aca="false">IF(L120&gt;=SARThreshold,"REVIEW","OK")</f>
        <v>OK</v>
      </c>
    </row>
    <row r="121" customFormat="false" ht="15" hidden="false" customHeight="false" outlineLevel="0" collapsed="false">
      <c r="B121" s="17" t="s">
        <v>297</v>
      </c>
      <c r="C121" s="18" t="n">
        <v>46125</v>
      </c>
      <c r="D121" s="19" t="s">
        <v>298</v>
      </c>
      <c r="E121" s="17" t="s">
        <v>85</v>
      </c>
      <c r="F121" s="20" t="n">
        <v>4947</v>
      </c>
      <c r="G121" s="17" t="s">
        <v>20</v>
      </c>
      <c r="H121" s="17" t="s">
        <v>10</v>
      </c>
      <c r="I121" s="17" t="s">
        <v>67</v>
      </c>
      <c r="J121" s="21" t="n">
        <f aca="false">VLOOKUP(H121, Reference!$B$4:$D$24, 3, FALSE())</f>
        <v>5</v>
      </c>
      <c r="K121" s="21" t="n">
        <f aca="false">VLOOKUP(G121, Reference!$F$4:$G$11, 2, FALSE())</f>
        <v>5</v>
      </c>
      <c r="L121" s="22" t="n">
        <f aca="false">J121+K121+IF(F121&gt;10000, WRuleAmt10k, 0)+IF(AND(F121&gt;=9000, F121&lt;=9999), WRuleStructure, 0)+IF(MOD(F121,1000)=0, WRuleRound, 0)+IF(OR(VALUE(LEFT(D121,2))&lt;7, VALUE(LEFT(D121,2))&gt;21), WRuleAfterHours, 0)+IF(WEEKDAY(C121,2)&gt;5, WRuleWeekend, 0)+IF(I121="Yes", WRulePEP, 0)+IF(COUNTIFS($C$5:$C$204,C121,$E$5:$E$204,E121)&gt;10, WRuleVelocity, 0)</f>
        <v>10</v>
      </c>
      <c r="M121" s="23" t="str">
        <f aca="false">IF(L121&gt;=SARThreshold,"REVIEW","OK")</f>
        <v>OK</v>
      </c>
    </row>
    <row r="122" customFormat="false" ht="15" hidden="false" customHeight="false" outlineLevel="0" collapsed="false">
      <c r="B122" s="24" t="s">
        <v>299</v>
      </c>
      <c r="C122" s="25" t="n">
        <v>46134</v>
      </c>
      <c r="D122" s="26" t="s">
        <v>172</v>
      </c>
      <c r="E122" s="24" t="s">
        <v>82</v>
      </c>
      <c r="F122" s="27" t="n">
        <v>903</v>
      </c>
      <c r="G122" s="24" t="s">
        <v>26</v>
      </c>
      <c r="H122" s="24" t="s">
        <v>29</v>
      </c>
      <c r="I122" s="24" t="s">
        <v>67</v>
      </c>
      <c r="J122" s="21" t="n">
        <f aca="false">VLOOKUP(H122, Reference!$B$4:$D$24, 3, FALSE())</f>
        <v>15</v>
      </c>
      <c r="K122" s="21" t="n">
        <f aca="false">VLOOKUP(G122, Reference!$F$4:$G$11, 2, FALSE())</f>
        <v>20</v>
      </c>
      <c r="L122" s="22" t="n">
        <f aca="false">J122+K122+IF(F122&gt;10000, WRuleAmt10k, 0)+IF(AND(F122&gt;=9000, F122&lt;=9999), WRuleStructure, 0)+IF(MOD(F122,1000)=0, WRuleRound, 0)+IF(OR(VALUE(LEFT(D122,2))&lt;7, VALUE(LEFT(D122,2))&gt;21), WRuleAfterHours, 0)+IF(WEEKDAY(C122,2)&gt;5, WRuleWeekend, 0)+IF(I122="Yes", WRulePEP, 0)+IF(COUNTIFS($C$5:$C$204,C122,$E$5:$E$204,E122)&gt;10, WRuleVelocity, 0)</f>
        <v>35</v>
      </c>
      <c r="M122" s="23" t="str">
        <f aca="false">IF(L122&gt;=SARThreshold,"REVIEW","OK")</f>
        <v>OK</v>
      </c>
    </row>
    <row r="123" customFormat="false" ht="15" hidden="false" customHeight="false" outlineLevel="0" collapsed="false">
      <c r="B123" s="17" t="s">
        <v>300</v>
      </c>
      <c r="C123" s="18" t="n">
        <v>46120</v>
      </c>
      <c r="D123" s="19" t="s">
        <v>301</v>
      </c>
      <c r="E123" s="17" t="s">
        <v>66</v>
      </c>
      <c r="F123" s="20" t="n">
        <v>4206</v>
      </c>
      <c r="G123" s="17" t="s">
        <v>16</v>
      </c>
      <c r="H123" s="17" t="s">
        <v>42</v>
      </c>
      <c r="I123" s="17" t="s">
        <v>67</v>
      </c>
      <c r="J123" s="21" t="n">
        <f aca="false">VLOOKUP(H123, Reference!$B$4:$D$24, 3, FALSE())</f>
        <v>50</v>
      </c>
      <c r="K123" s="21" t="n">
        <f aca="false">VLOOKUP(G123, Reference!$F$4:$G$11, 2, FALSE())</f>
        <v>15</v>
      </c>
      <c r="L123" s="22" t="n">
        <f aca="false">J123+K123+IF(F123&gt;10000, WRuleAmt10k, 0)+IF(AND(F123&gt;=9000, F123&lt;=9999), WRuleStructure, 0)+IF(MOD(F123,1000)=0, WRuleRound, 0)+IF(OR(VALUE(LEFT(D123,2))&lt;7, VALUE(LEFT(D123,2))&gt;21), WRuleAfterHours, 0)+IF(WEEKDAY(C123,2)&gt;5, WRuleWeekend, 0)+IF(I123="Yes", WRulePEP, 0)+IF(COUNTIFS($C$5:$C$204,C123,$E$5:$E$204,E123)&gt;10, WRuleVelocity, 0)</f>
        <v>65</v>
      </c>
      <c r="M123" s="23" t="str">
        <f aca="false">IF(L123&gt;=SARThreshold,"REVIEW","OK")</f>
        <v>REVIEW</v>
      </c>
    </row>
    <row r="124" customFormat="false" ht="15" hidden="false" customHeight="false" outlineLevel="0" collapsed="false">
      <c r="B124" s="24" t="s">
        <v>302</v>
      </c>
      <c r="C124" s="25" t="n">
        <v>46133</v>
      </c>
      <c r="D124" s="26" t="s">
        <v>81</v>
      </c>
      <c r="E124" s="24" t="s">
        <v>78</v>
      </c>
      <c r="F124" s="27" t="n">
        <v>5000</v>
      </c>
      <c r="G124" s="24" t="s">
        <v>16</v>
      </c>
      <c r="H124" s="24" t="s">
        <v>15</v>
      </c>
      <c r="I124" s="24" t="s">
        <v>67</v>
      </c>
      <c r="J124" s="21" t="n">
        <f aca="false">VLOOKUP(H124, Reference!$B$4:$D$24, 3, FALSE())</f>
        <v>5</v>
      </c>
      <c r="K124" s="21" t="n">
        <f aca="false">VLOOKUP(G124, Reference!$F$4:$G$11, 2, FALSE())</f>
        <v>15</v>
      </c>
      <c r="L124" s="22" t="n">
        <f aca="false">J124+K124+IF(F124&gt;10000, WRuleAmt10k, 0)+IF(AND(F124&gt;=9000, F124&lt;=9999), WRuleStructure, 0)+IF(MOD(F124,1000)=0, WRuleRound, 0)+IF(OR(VALUE(LEFT(D124,2))&lt;7, VALUE(LEFT(D124,2))&gt;21), WRuleAfterHours, 0)+IF(WEEKDAY(C124,2)&gt;5, WRuleWeekend, 0)+IF(I124="Yes", WRulePEP, 0)+IF(COUNTIFS($C$5:$C$204,C124,$E$5:$E$204,E124)&gt;10, WRuleVelocity, 0)</f>
        <v>30</v>
      </c>
      <c r="M124" s="23" t="str">
        <f aca="false">IF(L124&gt;=SARThreshold,"REVIEW","OK")</f>
        <v>OK</v>
      </c>
    </row>
    <row r="125" customFormat="false" ht="15" hidden="false" customHeight="false" outlineLevel="0" collapsed="false">
      <c r="B125" s="17" t="s">
        <v>303</v>
      </c>
      <c r="C125" s="18" t="n">
        <v>46123</v>
      </c>
      <c r="D125" s="19" t="s">
        <v>304</v>
      </c>
      <c r="E125" s="17" t="s">
        <v>70</v>
      </c>
      <c r="F125" s="20" t="n">
        <v>9552</v>
      </c>
      <c r="G125" s="17" t="s">
        <v>22</v>
      </c>
      <c r="H125" s="17" t="s">
        <v>37</v>
      </c>
      <c r="I125" s="17" t="s">
        <v>67</v>
      </c>
      <c r="J125" s="21" t="n">
        <f aca="false">VLOOKUP(H125, Reference!$B$4:$D$24, 3, FALSE())</f>
        <v>30</v>
      </c>
      <c r="K125" s="21" t="n">
        <f aca="false">VLOOKUP(G125, Reference!$F$4:$G$11, 2, FALSE())</f>
        <v>20</v>
      </c>
      <c r="L125" s="22" t="n">
        <f aca="false">J125+K125+IF(F125&gt;10000, WRuleAmt10k, 0)+IF(AND(F125&gt;=9000, F125&lt;=9999), WRuleStructure, 0)+IF(MOD(F125,1000)=0, WRuleRound, 0)+IF(OR(VALUE(LEFT(D125,2))&lt;7, VALUE(LEFT(D125,2))&gt;21), WRuleAfterHours, 0)+IF(WEEKDAY(C125,2)&gt;5, WRuleWeekend, 0)+IF(I125="Yes", WRulePEP, 0)+IF(COUNTIFS($C$5:$C$204,C125,$E$5:$E$204,E125)&gt;10, WRuleVelocity, 0)</f>
        <v>98</v>
      </c>
      <c r="M125" s="23" t="str">
        <f aca="false">IF(L125&gt;=SARThreshold,"REVIEW","OK")</f>
        <v>REVIEW</v>
      </c>
    </row>
    <row r="126" customFormat="false" ht="15" hidden="false" customHeight="false" outlineLevel="0" collapsed="false">
      <c r="B126" s="24" t="s">
        <v>305</v>
      </c>
      <c r="C126" s="25" t="n">
        <v>46121</v>
      </c>
      <c r="D126" s="26" t="s">
        <v>161</v>
      </c>
      <c r="E126" s="24" t="s">
        <v>75</v>
      </c>
      <c r="F126" s="27" t="n">
        <v>5649</v>
      </c>
      <c r="G126" s="24" t="s">
        <v>14</v>
      </c>
      <c r="H126" s="24" t="s">
        <v>34</v>
      </c>
      <c r="I126" s="24" t="s">
        <v>67</v>
      </c>
      <c r="J126" s="21" t="n">
        <f aca="false">VLOOKUP(H126, Reference!$B$4:$D$24, 3, FALSE())</f>
        <v>30</v>
      </c>
      <c r="K126" s="21" t="n">
        <f aca="false">VLOOKUP(G126, Reference!$F$4:$G$11, 2, FALSE())</f>
        <v>15</v>
      </c>
      <c r="L126" s="22" t="n">
        <f aca="false">J126+K126+IF(F126&gt;10000, WRuleAmt10k, 0)+IF(AND(F126&gt;=9000, F126&lt;=9999), WRuleStructure, 0)+IF(MOD(F126,1000)=0, WRuleRound, 0)+IF(OR(VALUE(LEFT(D126,2))&lt;7, VALUE(LEFT(D126,2))&gt;21), WRuleAfterHours, 0)+IF(WEEKDAY(C126,2)&gt;5, WRuleWeekend, 0)+IF(I126="Yes", WRulePEP, 0)+IF(COUNTIFS($C$5:$C$204,C126,$E$5:$E$204,E126)&gt;10, WRuleVelocity, 0)</f>
        <v>55</v>
      </c>
      <c r="M126" s="23" t="str">
        <f aca="false">IF(L126&gt;=SARThreshold,"REVIEW","OK")</f>
        <v>OK</v>
      </c>
    </row>
    <row r="127" customFormat="false" ht="15" hidden="false" customHeight="false" outlineLevel="0" collapsed="false">
      <c r="B127" s="17" t="s">
        <v>306</v>
      </c>
      <c r="C127" s="18" t="n">
        <v>46117</v>
      </c>
      <c r="D127" s="19" t="s">
        <v>135</v>
      </c>
      <c r="E127" s="17" t="s">
        <v>75</v>
      </c>
      <c r="F127" s="20" t="n">
        <v>6092</v>
      </c>
      <c r="G127" s="17" t="s">
        <v>14</v>
      </c>
      <c r="H127" s="17" t="s">
        <v>32</v>
      </c>
      <c r="I127" s="17" t="s">
        <v>79</v>
      </c>
      <c r="J127" s="21" t="n">
        <f aca="false">VLOOKUP(H127, Reference!$B$4:$D$24, 3, FALSE())</f>
        <v>15</v>
      </c>
      <c r="K127" s="21" t="n">
        <f aca="false">VLOOKUP(G127, Reference!$F$4:$G$11, 2, FALSE())</f>
        <v>15</v>
      </c>
      <c r="L127" s="22" t="n">
        <f aca="false">J127+K127+IF(F127&gt;10000, WRuleAmt10k, 0)+IF(AND(F127&gt;=9000, F127&lt;=9999), WRuleStructure, 0)+IF(MOD(F127,1000)=0, WRuleRound, 0)+IF(OR(VALUE(LEFT(D127,2))&lt;7, VALUE(LEFT(D127,2))&gt;21), WRuleAfterHours, 0)+IF(WEEKDAY(C127,2)&gt;5, WRuleWeekend, 0)+IF(I127="Yes", WRulePEP, 0)+IF(COUNTIFS($C$5:$C$204,C127,$E$5:$E$204,E127)&gt;10, WRuleVelocity, 0)</f>
        <v>63</v>
      </c>
      <c r="M127" s="23" t="str">
        <f aca="false">IF(L127&gt;=SARThreshold,"REVIEW","OK")</f>
        <v>REVIEW</v>
      </c>
    </row>
    <row r="128" customFormat="false" ht="15" hidden="false" customHeight="false" outlineLevel="0" collapsed="false">
      <c r="B128" s="24" t="s">
        <v>307</v>
      </c>
      <c r="C128" s="25" t="n">
        <v>46130</v>
      </c>
      <c r="D128" s="26" t="s">
        <v>65</v>
      </c>
      <c r="E128" s="24" t="s">
        <v>104</v>
      </c>
      <c r="F128" s="27" t="n">
        <v>4395</v>
      </c>
      <c r="G128" s="24" t="s">
        <v>24</v>
      </c>
      <c r="H128" s="24" t="s">
        <v>42</v>
      </c>
      <c r="I128" s="24" t="s">
        <v>67</v>
      </c>
      <c r="J128" s="21" t="n">
        <f aca="false">VLOOKUP(H128, Reference!$B$4:$D$24, 3, FALSE())</f>
        <v>50</v>
      </c>
      <c r="K128" s="21" t="n">
        <f aca="false">VLOOKUP(G128, Reference!$F$4:$G$11, 2, FALSE())</f>
        <v>25</v>
      </c>
      <c r="L128" s="22" t="n">
        <f aca="false">J128+K128+IF(F128&gt;10000, WRuleAmt10k, 0)+IF(AND(F128&gt;=9000, F128&lt;=9999), WRuleStructure, 0)+IF(MOD(F128,1000)=0, WRuleRound, 0)+IF(OR(VALUE(LEFT(D128,2))&lt;7, VALUE(LEFT(D128,2))&gt;21), WRuleAfterHours, 0)+IF(WEEKDAY(C128,2)&gt;5, WRuleWeekend, 0)+IF(I128="Yes", WRulePEP, 0)+IF(COUNTIFS($C$5:$C$204,C128,$E$5:$E$204,E128)&gt;10, WRuleVelocity, 0)</f>
        <v>93</v>
      </c>
      <c r="M128" s="23" t="str">
        <f aca="false">IF(L128&gt;=SARThreshold,"REVIEW","OK")</f>
        <v>REVIEW</v>
      </c>
    </row>
    <row r="129" customFormat="false" ht="15" hidden="false" customHeight="false" outlineLevel="0" collapsed="false">
      <c r="B129" s="17" t="s">
        <v>308</v>
      </c>
      <c r="C129" s="18" t="n">
        <v>46116</v>
      </c>
      <c r="D129" s="19" t="s">
        <v>309</v>
      </c>
      <c r="E129" s="17" t="s">
        <v>310</v>
      </c>
      <c r="F129" s="20" t="n">
        <v>5474</v>
      </c>
      <c r="G129" s="17" t="s">
        <v>18</v>
      </c>
      <c r="H129" s="17" t="s">
        <v>42</v>
      </c>
      <c r="I129" s="17" t="s">
        <v>79</v>
      </c>
      <c r="J129" s="21" t="n">
        <f aca="false">VLOOKUP(H129, Reference!$B$4:$D$24, 3, FALSE())</f>
        <v>50</v>
      </c>
      <c r="K129" s="21" t="n">
        <f aca="false">VLOOKUP(G129, Reference!$F$4:$G$11, 2, FALSE())</f>
        <v>5</v>
      </c>
      <c r="L129" s="22" t="n">
        <f aca="false">J129+K129+IF(F129&gt;10000, WRuleAmt10k, 0)+IF(AND(F129&gt;=9000, F129&lt;=9999), WRuleStructure, 0)+IF(MOD(F129,1000)=0, WRuleRound, 0)+IF(OR(VALUE(LEFT(D129,2))&lt;7, VALUE(LEFT(D129,2))&gt;21), WRuleAfterHours, 0)+IF(WEEKDAY(C129,2)&gt;5, WRuleWeekend, 0)+IF(I129="Yes", WRulePEP, 0)+IF(COUNTIFS($C$5:$C$204,C129,$E$5:$E$204,E129)&gt;10, WRuleVelocity, 0)</f>
        <v>88</v>
      </c>
      <c r="M129" s="23" t="str">
        <f aca="false">IF(L129&gt;=SARThreshold,"REVIEW","OK")</f>
        <v>REVIEW</v>
      </c>
    </row>
    <row r="130" customFormat="false" ht="15" hidden="false" customHeight="false" outlineLevel="0" collapsed="false">
      <c r="B130" s="24" t="s">
        <v>311</v>
      </c>
      <c r="C130" s="25" t="n">
        <v>46139</v>
      </c>
      <c r="D130" s="26" t="s">
        <v>106</v>
      </c>
      <c r="E130" s="24" t="s">
        <v>224</v>
      </c>
      <c r="F130" s="27" t="n">
        <v>2000</v>
      </c>
      <c r="G130" s="24" t="s">
        <v>12</v>
      </c>
      <c r="H130" s="24" t="s">
        <v>13</v>
      </c>
      <c r="I130" s="24" t="s">
        <v>67</v>
      </c>
      <c r="J130" s="21" t="n">
        <f aca="false">VLOOKUP(H130, Reference!$B$4:$D$24, 3, FALSE())</f>
        <v>5</v>
      </c>
      <c r="K130" s="21" t="n">
        <f aca="false">VLOOKUP(G130, Reference!$F$4:$G$11, 2, FALSE())</f>
        <v>10</v>
      </c>
      <c r="L130" s="22" t="n">
        <f aca="false">J130+K130+IF(F130&gt;10000, WRuleAmt10k, 0)+IF(AND(F130&gt;=9000, F130&lt;=9999), WRuleStructure, 0)+IF(MOD(F130,1000)=0, WRuleRound, 0)+IF(OR(VALUE(LEFT(D130,2))&lt;7, VALUE(LEFT(D130,2))&gt;21), WRuleAfterHours, 0)+IF(WEEKDAY(C130,2)&gt;5, WRuleWeekend, 0)+IF(I130="Yes", WRulePEP, 0)+IF(COUNTIFS($C$5:$C$204,C130,$E$5:$E$204,E130)&gt;10, WRuleVelocity, 0)</f>
        <v>25</v>
      </c>
      <c r="M130" s="23" t="str">
        <f aca="false">IF(L130&gt;=SARThreshold,"REVIEW","OK")</f>
        <v>OK</v>
      </c>
    </row>
    <row r="131" customFormat="false" ht="15" hidden="false" customHeight="false" outlineLevel="0" collapsed="false">
      <c r="B131" s="17" t="s">
        <v>312</v>
      </c>
      <c r="C131" s="18" t="n">
        <v>46128</v>
      </c>
      <c r="D131" s="19" t="s">
        <v>130</v>
      </c>
      <c r="E131" s="17" t="s">
        <v>111</v>
      </c>
      <c r="F131" s="20" t="n">
        <v>6467</v>
      </c>
      <c r="G131" s="17" t="s">
        <v>26</v>
      </c>
      <c r="H131" s="17" t="s">
        <v>31</v>
      </c>
      <c r="I131" s="17" t="s">
        <v>67</v>
      </c>
      <c r="J131" s="21" t="n">
        <f aca="false">VLOOKUP(H131, Reference!$B$4:$D$24, 3, FALSE())</f>
        <v>15</v>
      </c>
      <c r="K131" s="21" t="n">
        <f aca="false">VLOOKUP(G131, Reference!$F$4:$G$11, 2, FALSE())</f>
        <v>20</v>
      </c>
      <c r="L131" s="22" t="n">
        <f aca="false">J131+K131+IF(F131&gt;10000, WRuleAmt10k, 0)+IF(AND(F131&gt;=9000, F131&lt;=9999), WRuleStructure, 0)+IF(MOD(F131,1000)=0, WRuleRound, 0)+IF(OR(VALUE(LEFT(D131,2))&lt;7, VALUE(LEFT(D131,2))&gt;21), WRuleAfterHours, 0)+IF(WEEKDAY(C131,2)&gt;5, WRuleWeekend, 0)+IF(I131="Yes", WRulePEP, 0)+IF(COUNTIFS($C$5:$C$204,C131,$E$5:$E$204,E131)&gt;10, WRuleVelocity, 0)</f>
        <v>45</v>
      </c>
      <c r="M131" s="23" t="str">
        <f aca="false">IF(L131&gt;=SARThreshold,"REVIEW","OK")</f>
        <v>OK</v>
      </c>
    </row>
    <row r="132" customFormat="false" ht="15" hidden="false" customHeight="false" outlineLevel="0" collapsed="false">
      <c r="B132" s="24" t="s">
        <v>313</v>
      </c>
      <c r="C132" s="25" t="n">
        <v>46136</v>
      </c>
      <c r="D132" s="26" t="s">
        <v>72</v>
      </c>
      <c r="E132" s="24" t="s">
        <v>82</v>
      </c>
      <c r="F132" s="27" t="n">
        <v>2631</v>
      </c>
      <c r="G132" s="24" t="s">
        <v>24</v>
      </c>
      <c r="H132" s="24" t="s">
        <v>42</v>
      </c>
      <c r="I132" s="24" t="s">
        <v>67</v>
      </c>
      <c r="J132" s="21" t="n">
        <f aca="false">VLOOKUP(H132, Reference!$B$4:$D$24, 3, FALSE())</f>
        <v>50</v>
      </c>
      <c r="K132" s="21" t="n">
        <f aca="false">VLOOKUP(G132, Reference!$F$4:$G$11, 2, FALSE())</f>
        <v>25</v>
      </c>
      <c r="L132" s="22" t="n">
        <f aca="false">J132+K132+IF(F132&gt;10000, WRuleAmt10k, 0)+IF(AND(F132&gt;=9000, F132&lt;=9999), WRuleStructure, 0)+IF(MOD(F132,1000)=0, WRuleRound, 0)+IF(OR(VALUE(LEFT(D132,2))&lt;7, VALUE(LEFT(D132,2))&gt;21), WRuleAfterHours, 0)+IF(WEEKDAY(C132,2)&gt;5, WRuleWeekend, 0)+IF(I132="Yes", WRulePEP, 0)+IF(COUNTIFS($C$5:$C$204,C132,$E$5:$E$204,E132)&gt;10, WRuleVelocity, 0)</f>
        <v>85</v>
      </c>
      <c r="M132" s="23" t="str">
        <f aca="false">IF(L132&gt;=SARThreshold,"REVIEW","OK")</f>
        <v>REVIEW</v>
      </c>
    </row>
    <row r="133" customFormat="false" ht="15" hidden="false" customHeight="false" outlineLevel="0" collapsed="false">
      <c r="B133" s="17" t="s">
        <v>314</v>
      </c>
      <c r="C133" s="18" t="n">
        <v>46128</v>
      </c>
      <c r="D133" s="19" t="s">
        <v>301</v>
      </c>
      <c r="E133" s="17" t="s">
        <v>142</v>
      </c>
      <c r="F133" s="20" t="n">
        <v>3659</v>
      </c>
      <c r="G133" s="17" t="s">
        <v>26</v>
      </c>
      <c r="H133" s="17" t="s">
        <v>34</v>
      </c>
      <c r="I133" s="17" t="s">
        <v>67</v>
      </c>
      <c r="J133" s="21" t="n">
        <f aca="false">VLOOKUP(H133, Reference!$B$4:$D$24, 3, FALSE())</f>
        <v>30</v>
      </c>
      <c r="K133" s="21" t="n">
        <f aca="false">VLOOKUP(G133, Reference!$F$4:$G$11, 2, FALSE())</f>
        <v>20</v>
      </c>
      <c r="L133" s="22" t="n">
        <f aca="false">J133+K133+IF(F133&gt;10000, WRuleAmt10k, 0)+IF(AND(F133&gt;=9000, F133&lt;=9999), WRuleStructure, 0)+IF(MOD(F133,1000)=0, WRuleRound, 0)+IF(OR(VALUE(LEFT(D133,2))&lt;7, VALUE(LEFT(D133,2))&gt;21), WRuleAfterHours, 0)+IF(WEEKDAY(C133,2)&gt;5, WRuleWeekend, 0)+IF(I133="Yes", WRulePEP, 0)+IF(COUNTIFS($C$5:$C$204,C133,$E$5:$E$204,E133)&gt;10, WRuleVelocity, 0)</f>
        <v>50</v>
      </c>
      <c r="M133" s="23" t="str">
        <f aca="false">IF(L133&gt;=SARThreshold,"REVIEW","OK")</f>
        <v>OK</v>
      </c>
    </row>
    <row r="134" customFormat="false" ht="15" hidden="false" customHeight="false" outlineLevel="0" collapsed="false">
      <c r="B134" s="24" t="s">
        <v>315</v>
      </c>
      <c r="C134" s="25" t="n">
        <v>46140</v>
      </c>
      <c r="D134" s="26" t="s">
        <v>77</v>
      </c>
      <c r="E134" s="24" t="s">
        <v>162</v>
      </c>
      <c r="F134" s="27" t="n">
        <v>5976</v>
      </c>
      <c r="G134" s="24" t="s">
        <v>12</v>
      </c>
      <c r="H134" s="24" t="s">
        <v>32</v>
      </c>
      <c r="I134" s="24" t="s">
        <v>67</v>
      </c>
      <c r="J134" s="21" t="n">
        <f aca="false">VLOOKUP(H134, Reference!$B$4:$D$24, 3, FALSE())</f>
        <v>15</v>
      </c>
      <c r="K134" s="21" t="n">
        <f aca="false">VLOOKUP(G134, Reference!$F$4:$G$11, 2, FALSE())</f>
        <v>10</v>
      </c>
      <c r="L134" s="22" t="n">
        <f aca="false">J134+K134+IF(F134&gt;10000, WRuleAmt10k, 0)+IF(AND(F134&gt;=9000, F134&lt;=9999), WRuleStructure, 0)+IF(MOD(F134,1000)=0, WRuleRound, 0)+IF(OR(VALUE(LEFT(D134,2))&lt;7, VALUE(LEFT(D134,2))&gt;21), WRuleAfterHours, 0)+IF(WEEKDAY(C134,2)&gt;5, WRuleWeekend, 0)+IF(I134="Yes", WRulePEP, 0)+IF(COUNTIFS($C$5:$C$204,C134,$E$5:$E$204,E134)&gt;10, WRuleVelocity, 0)</f>
        <v>25</v>
      </c>
      <c r="M134" s="23" t="str">
        <f aca="false">IF(L134&gt;=SARThreshold,"REVIEW","OK")</f>
        <v>OK</v>
      </c>
    </row>
    <row r="135" customFormat="false" ht="15" hidden="false" customHeight="false" outlineLevel="0" collapsed="false">
      <c r="B135" s="17" t="s">
        <v>316</v>
      </c>
      <c r="C135" s="18" t="n">
        <v>46116</v>
      </c>
      <c r="D135" s="19" t="s">
        <v>317</v>
      </c>
      <c r="E135" s="17" t="s">
        <v>224</v>
      </c>
      <c r="F135" s="20" t="n">
        <v>449</v>
      </c>
      <c r="G135" s="17" t="s">
        <v>12</v>
      </c>
      <c r="H135" s="17" t="s">
        <v>30</v>
      </c>
      <c r="I135" s="17" t="s">
        <v>67</v>
      </c>
      <c r="J135" s="21" t="n">
        <f aca="false">VLOOKUP(H135, Reference!$B$4:$D$24, 3, FALSE())</f>
        <v>15</v>
      </c>
      <c r="K135" s="21" t="n">
        <f aca="false">VLOOKUP(G135, Reference!$F$4:$G$11, 2, FALSE())</f>
        <v>10</v>
      </c>
      <c r="L135" s="22" t="n">
        <f aca="false">J135+K135+IF(F135&gt;10000, WRuleAmt10k, 0)+IF(AND(F135&gt;=9000, F135&lt;=9999), WRuleStructure, 0)+IF(MOD(F135,1000)=0, WRuleRound, 0)+IF(OR(VALUE(LEFT(D135,2))&lt;7, VALUE(LEFT(D135,2))&gt;21), WRuleAfterHours, 0)+IF(WEEKDAY(C135,2)&gt;5, WRuleWeekend, 0)+IF(I135="Yes", WRulePEP, 0)+IF(COUNTIFS($C$5:$C$204,C135,$E$5:$E$204,E135)&gt;10, WRuleVelocity, 0)</f>
        <v>33</v>
      </c>
      <c r="M135" s="23" t="str">
        <f aca="false">IF(L135&gt;=SARThreshold,"REVIEW","OK")</f>
        <v>OK</v>
      </c>
    </row>
    <row r="136" customFormat="false" ht="15" hidden="false" customHeight="false" outlineLevel="0" collapsed="false">
      <c r="B136" s="24" t="s">
        <v>318</v>
      </c>
      <c r="C136" s="25" t="n">
        <v>46117</v>
      </c>
      <c r="D136" s="26" t="s">
        <v>319</v>
      </c>
      <c r="E136" s="24" t="s">
        <v>114</v>
      </c>
      <c r="F136" s="27" t="n">
        <v>3494</v>
      </c>
      <c r="G136" s="24" t="s">
        <v>18</v>
      </c>
      <c r="H136" s="24" t="s">
        <v>25</v>
      </c>
      <c r="I136" s="24" t="s">
        <v>67</v>
      </c>
      <c r="J136" s="21" t="n">
        <f aca="false">VLOOKUP(H136, Reference!$B$4:$D$24, 3, FALSE())</f>
        <v>5</v>
      </c>
      <c r="K136" s="21" t="n">
        <f aca="false">VLOOKUP(G136, Reference!$F$4:$G$11, 2, FALSE())</f>
        <v>5</v>
      </c>
      <c r="L136" s="22" t="n">
        <f aca="false">J136+K136+IF(F136&gt;10000, WRuleAmt10k, 0)+IF(AND(F136&gt;=9000, F136&lt;=9999), WRuleStructure, 0)+IF(MOD(F136,1000)=0, WRuleRound, 0)+IF(OR(VALUE(LEFT(D136,2))&lt;7, VALUE(LEFT(D136,2))&gt;21), WRuleAfterHours, 0)+IF(WEEKDAY(C136,2)&gt;5, WRuleWeekend, 0)+IF(I136="Yes", WRulePEP, 0)+IF(COUNTIFS($C$5:$C$204,C136,$E$5:$E$204,E136)&gt;10, WRuleVelocity, 0)</f>
        <v>18</v>
      </c>
      <c r="M136" s="23" t="str">
        <f aca="false">IF(L136&gt;=SARThreshold,"REVIEW","OK")</f>
        <v>OK</v>
      </c>
    </row>
    <row r="137" customFormat="false" ht="15" hidden="false" customHeight="false" outlineLevel="0" collapsed="false">
      <c r="B137" s="17" t="s">
        <v>320</v>
      </c>
      <c r="C137" s="18" t="n">
        <v>46117</v>
      </c>
      <c r="D137" s="19" t="s">
        <v>301</v>
      </c>
      <c r="E137" s="17" t="s">
        <v>117</v>
      </c>
      <c r="F137" s="20" t="n">
        <v>2229</v>
      </c>
      <c r="G137" s="17" t="s">
        <v>20</v>
      </c>
      <c r="H137" s="17" t="s">
        <v>21</v>
      </c>
      <c r="I137" s="17" t="s">
        <v>67</v>
      </c>
      <c r="J137" s="21" t="n">
        <f aca="false">VLOOKUP(H137, Reference!$B$4:$D$24, 3, FALSE())</f>
        <v>5</v>
      </c>
      <c r="K137" s="21" t="n">
        <f aca="false">VLOOKUP(G137, Reference!$F$4:$G$11, 2, FALSE())</f>
        <v>5</v>
      </c>
      <c r="L137" s="22" t="n">
        <f aca="false">J137+K137+IF(F137&gt;10000, WRuleAmt10k, 0)+IF(AND(F137&gt;=9000, F137&lt;=9999), WRuleStructure, 0)+IF(MOD(F137,1000)=0, WRuleRound, 0)+IF(OR(VALUE(LEFT(D137,2))&lt;7, VALUE(LEFT(D137,2))&gt;21), WRuleAfterHours, 0)+IF(WEEKDAY(C137,2)&gt;5, WRuleWeekend, 0)+IF(I137="Yes", WRulePEP, 0)+IF(COUNTIFS($C$5:$C$204,C137,$E$5:$E$204,E137)&gt;10, WRuleVelocity, 0)</f>
        <v>18</v>
      </c>
      <c r="M137" s="23" t="str">
        <f aca="false">IF(L137&gt;=SARThreshold,"REVIEW","OK")</f>
        <v>OK</v>
      </c>
    </row>
    <row r="138" customFormat="false" ht="15" hidden="false" customHeight="false" outlineLevel="0" collapsed="false">
      <c r="B138" s="24" t="s">
        <v>321</v>
      </c>
      <c r="C138" s="25" t="n">
        <v>46140</v>
      </c>
      <c r="D138" s="26" t="s">
        <v>322</v>
      </c>
      <c r="E138" s="24" t="s">
        <v>182</v>
      </c>
      <c r="F138" s="27" t="n">
        <v>3998</v>
      </c>
      <c r="G138" s="24" t="s">
        <v>22</v>
      </c>
      <c r="H138" s="24" t="s">
        <v>10</v>
      </c>
      <c r="I138" s="24" t="s">
        <v>67</v>
      </c>
      <c r="J138" s="21" t="n">
        <f aca="false">VLOOKUP(H138, Reference!$B$4:$D$24, 3, FALSE())</f>
        <v>5</v>
      </c>
      <c r="K138" s="21" t="n">
        <f aca="false">VLOOKUP(G138, Reference!$F$4:$G$11, 2, FALSE())</f>
        <v>20</v>
      </c>
      <c r="L138" s="22" t="n">
        <f aca="false">J138+K138+IF(F138&gt;10000, WRuleAmt10k, 0)+IF(AND(F138&gt;=9000, F138&lt;=9999), WRuleStructure, 0)+IF(MOD(F138,1000)=0, WRuleRound, 0)+IF(OR(VALUE(LEFT(D138,2))&lt;7, VALUE(LEFT(D138,2))&gt;21), WRuleAfterHours, 0)+IF(WEEKDAY(C138,2)&gt;5, WRuleWeekend, 0)+IF(I138="Yes", WRulePEP, 0)+IF(COUNTIFS($C$5:$C$204,C138,$E$5:$E$204,E138)&gt;10, WRuleVelocity, 0)</f>
        <v>35</v>
      </c>
      <c r="M138" s="23" t="str">
        <f aca="false">IF(L138&gt;=SARThreshold,"REVIEW","OK")</f>
        <v>OK</v>
      </c>
    </row>
    <row r="139" customFormat="false" ht="15" hidden="false" customHeight="false" outlineLevel="0" collapsed="false">
      <c r="B139" s="17" t="s">
        <v>323</v>
      </c>
      <c r="C139" s="18" t="n">
        <v>46114</v>
      </c>
      <c r="D139" s="19" t="s">
        <v>324</v>
      </c>
      <c r="E139" s="17" t="s">
        <v>107</v>
      </c>
      <c r="F139" s="20" t="n">
        <v>9065</v>
      </c>
      <c r="G139" s="17" t="s">
        <v>26</v>
      </c>
      <c r="H139" s="17" t="s">
        <v>34</v>
      </c>
      <c r="I139" s="17" t="s">
        <v>67</v>
      </c>
      <c r="J139" s="21" t="n">
        <f aca="false">VLOOKUP(H139, Reference!$B$4:$D$24, 3, FALSE())</f>
        <v>30</v>
      </c>
      <c r="K139" s="21" t="n">
        <f aca="false">VLOOKUP(G139, Reference!$F$4:$G$11, 2, FALSE())</f>
        <v>20</v>
      </c>
      <c r="L139" s="22" t="n">
        <f aca="false">J139+K139+IF(F139&gt;10000, WRuleAmt10k, 0)+IF(AND(F139&gt;=9000, F139&lt;=9999), WRuleStructure, 0)+IF(MOD(F139,1000)=0, WRuleRound, 0)+IF(OR(VALUE(LEFT(D139,2))&lt;7, VALUE(LEFT(D139,2))&gt;21), WRuleAfterHours, 0)+IF(WEEKDAY(C139,2)&gt;5, WRuleWeekend, 0)+IF(I139="Yes", WRulePEP, 0)+IF(COUNTIFS($C$5:$C$204,C139,$E$5:$E$204,E139)&gt;10, WRuleVelocity, 0)</f>
        <v>90</v>
      </c>
      <c r="M139" s="23" t="str">
        <f aca="false">IF(L139&gt;=SARThreshold,"REVIEW","OK")</f>
        <v>REVIEW</v>
      </c>
    </row>
    <row r="140" customFormat="false" ht="15" hidden="false" customHeight="false" outlineLevel="0" collapsed="false">
      <c r="B140" s="24" t="s">
        <v>325</v>
      </c>
      <c r="C140" s="25" t="n">
        <v>46129</v>
      </c>
      <c r="D140" s="26" t="s">
        <v>125</v>
      </c>
      <c r="E140" s="24" t="s">
        <v>107</v>
      </c>
      <c r="F140" s="27" t="n">
        <v>9629</v>
      </c>
      <c r="G140" s="24" t="s">
        <v>12</v>
      </c>
      <c r="H140" s="24" t="s">
        <v>37</v>
      </c>
      <c r="I140" s="24" t="s">
        <v>67</v>
      </c>
      <c r="J140" s="21" t="n">
        <f aca="false">VLOOKUP(H140, Reference!$B$4:$D$24, 3, FALSE())</f>
        <v>30</v>
      </c>
      <c r="K140" s="21" t="n">
        <f aca="false">VLOOKUP(G140, Reference!$F$4:$G$11, 2, FALSE())</f>
        <v>10</v>
      </c>
      <c r="L140" s="22" t="n">
        <f aca="false">J140+K140+IF(F140&gt;10000, WRuleAmt10k, 0)+IF(AND(F140&gt;=9000, F140&lt;=9999), WRuleStructure, 0)+IF(MOD(F140,1000)=0, WRuleRound, 0)+IF(OR(VALUE(LEFT(D140,2))&lt;7, VALUE(LEFT(D140,2))&gt;21), WRuleAfterHours, 0)+IF(WEEKDAY(C140,2)&gt;5, WRuleWeekend, 0)+IF(I140="Yes", WRulePEP, 0)+IF(COUNTIFS($C$5:$C$204,C140,$E$5:$E$204,E140)&gt;10, WRuleVelocity, 0)</f>
        <v>70</v>
      </c>
      <c r="M140" s="23" t="str">
        <f aca="false">IF(L140&gt;=SARThreshold,"REVIEW","OK")</f>
        <v>REVIEW</v>
      </c>
    </row>
    <row r="141" customFormat="false" ht="15" hidden="false" customHeight="false" outlineLevel="0" collapsed="false">
      <c r="B141" s="17" t="s">
        <v>326</v>
      </c>
      <c r="C141" s="18" t="n">
        <v>46133</v>
      </c>
      <c r="D141" s="19" t="s">
        <v>327</v>
      </c>
      <c r="E141" s="17" t="s">
        <v>117</v>
      </c>
      <c r="F141" s="20" t="n">
        <v>1000</v>
      </c>
      <c r="G141" s="17" t="s">
        <v>26</v>
      </c>
      <c r="H141" s="17" t="s">
        <v>34</v>
      </c>
      <c r="I141" s="17" t="s">
        <v>79</v>
      </c>
      <c r="J141" s="21" t="n">
        <f aca="false">VLOOKUP(H141, Reference!$B$4:$D$24, 3, FALSE())</f>
        <v>30</v>
      </c>
      <c r="K141" s="21" t="n">
        <f aca="false">VLOOKUP(G141, Reference!$F$4:$G$11, 2, FALSE())</f>
        <v>20</v>
      </c>
      <c r="L141" s="22" t="n">
        <f aca="false">J141+K141+IF(F141&gt;10000, WRuleAmt10k, 0)+IF(AND(F141&gt;=9000, F141&lt;=9999), WRuleStructure, 0)+IF(MOD(F141,1000)=0, WRuleRound, 0)+IF(OR(VALUE(LEFT(D141,2))&lt;7, VALUE(LEFT(D141,2))&gt;21), WRuleAfterHours, 0)+IF(WEEKDAY(C141,2)&gt;5, WRuleWeekend, 0)+IF(I141="Yes", WRulePEP, 0)+IF(COUNTIFS($C$5:$C$204,C141,$E$5:$E$204,E141)&gt;10, WRuleVelocity, 0)</f>
        <v>95</v>
      </c>
      <c r="M141" s="23" t="str">
        <f aca="false">IF(L141&gt;=SARThreshold,"REVIEW","OK")</f>
        <v>REVIEW</v>
      </c>
    </row>
    <row r="142" customFormat="false" ht="15" hidden="false" customHeight="false" outlineLevel="0" collapsed="false">
      <c r="B142" s="24" t="s">
        <v>328</v>
      </c>
      <c r="C142" s="25" t="n">
        <v>46115</v>
      </c>
      <c r="D142" s="26" t="s">
        <v>329</v>
      </c>
      <c r="E142" s="24" t="s">
        <v>101</v>
      </c>
      <c r="F142" s="27" t="n">
        <v>9639</v>
      </c>
      <c r="G142" s="24" t="s">
        <v>22</v>
      </c>
      <c r="H142" s="24" t="s">
        <v>32</v>
      </c>
      <c r="I142" s="24" t="s">
        <v>67</v>
      </c>
      <c r="J142" s="21" t="n">
        <f aca="false">VLOOKUP(H142, Reference!$B$4:$D$24, 3, FALSE())</f>
        <v>15</v>
      </c>
      <c r="K142" s="21" t="n">
        <f aca="false">VLOOKUP(G142, Reference!$F$4:$G$11, 2, FALSE())</f>
        <v>20</v>
      </c>
      <c r="L142" s="22" t="n">
        <f aca="false">J142+K142+IF(F142&gt;10000, WRuleAmt10k, 0)+IF(AND(F142&gt;=9000, F142&lt;=9999), WRuleStructure, 0)+IF(MOD(F142,1000)=0, WRuleRound, 0)+IF(OR(VALUE(LEFT(D142,2))&lt;7, VALUE(LEFT(D142,2))&gt;21), WRuleAfterHours, 0)+IF(WEEKDAY(C142,2)&gt;5, WRuleWeekend, 0)+IF(I142="Yes", WRulePEP, 0)+IF(COUNTIFS($C$5:$C$204,C142,$E$5:$E$204,E142)&gt;10, WRuleVelocity, 0)</f>
        <v>65</v>
      </c>
      <c r="M142" s="23" t="str">
        <f aca="false">IF(L142&gt;=SARThreshold,"REVIEW","OK")</f>
        <v>REVIEW</v>
      </c>
    </row>
    <row r="143" customFormat="false" ht="15" hidden="false" customHeight="false" outlineLevel="0" collapsed="false">
      <c r="B143" s="17" t="s">
        <v>330</v>
      </c>
      <c r="C143" s="18" t="n">
        <v>46129</v>
      </c>
      <c r="D143" s="19" t="s">
        <v>331</v>
      </c>
      <c r="E143" s="17" t="s">
        <v>88</v>
      </c>
      <c r="F143" s="20" t="n">
        <v>1000</v>
      </c>
      <c r="G143" s="17" t="s">
        <v>18</v>
      </c>
      <c r="H143" s="17" t="s">
        <v>33</v>
      </c>
      <c r="I143" s="17" t="s">
        <v>67</v>
      </c>
      <c r="J143" s="21" t="n">
        <f aca="false">VLOOKUP(H143, Reference!$B$4:$D$24, 3, FALSE())</f>
        <v>15</v>
      </c>
      <c r="K143" s="21" t="n">
        <f aca="false">VLOOKUP(G143, Reference!$F$4:$G$11, 2, FALSE())</f>
        <v>5</v>
      </c>
      <c r="L143" s="22" t="n">
        <f aca="false">J143+K143+IF(F143&gt;10000, WRuleAmt10k, 0)+IF(AND(F143&gt;=9000, F143&lt;=9999), WRuleStructure, 0)+IF(MOD(F143,1000)=0, WRuleRound, 0)+IF(OR(VALUE(LEFT(D143,2))&lt;7, VALUE(LEFT(D143,2))&gt;21), WRuleAfterHours, 0)+IF(WEEKDAY(C143,2)&gt;5, WRuleWeekend, 0)+IF(I143="Yes", WRulePEP, 0)+IF(COUNTIFS($C$5:$C$204,C143,$E$5:$E$204,E143)&gt;10, WRuleVelocity, 0)</f>
        <v>30</v>
      </c>
      <c r="M143" s="23" t="str">
        <f aca="false">IF(L143&gt;=SARThreshold,"REVIEW","OK")</f>
        <v>OK</v>
      </c>
    </row>
    <row r="144" customFormat="false" ht="15" hidden="false" customHeight="false" outlineLevel="0" collapsed="false">
      <c r="B144" s="24" t="s">
        <v>332</v>
      </c>
      <c r="C144" s="25" t="n">
        <v>46120</v>
      </c>
      <c r="D144" s="26" t="s">
        <v>275</v>
      </c>
      <c r="E144" s="24" t="s">
        <v>85</v>
      </c>
      <c r="F144" s="27" t="n">
        <v>1000</v>
      </c>
      <c r="G144" s="24" t="s">
        <v>22</v>
      </c>
      <c r="H144" s="24" t="s">
        <v>33</v>
      </c>
      <c r="I144" s="24" t="s">
        <v>67</v>
      </c>
      <c r="J144" s="21" t="n">
        <f aca="false">VLOOKUP(H144, Reference!$B$4:$D$24, 3, FALSE())</f>
        <v>15</v>
      </c>
      <c r="K144" s="21" t="n">
        <f aca="false">VLOOKUP(G144, Reference!$F$4:$G$11, 2, FALSE())</f>
        <v>20</v>
      </c>
      <c r="L144" s="22" t="n">
        <f aca="false">J144+K144+IF(F144&gt;10000, WRuleAmt10k, 0)+IF(AND(F144&gt;=9000, F144&lt;=9999), WRuleStructure, 0)+IF(MOD(F144,1000)=0, WRuleRound, 0)+IF(OR(VALUE(LEFT(D144,2))&lt;7, VALUE(LEFT(D144,2))&gt;21), WRuleAfterHours, 0)+IF(WEEKDAY(C144,2)&gt;5, WRuleWeekend, 0)+IF(I144="Yes", WRulePEP, 0)+IF(COUNTIFS($C$5:$C$204,C144,$E$5:$E$204,E144)&gt;10, WRuleVelocity, 0)</f>
        <v>45</v>
      </c>
      <c r="M144" s="23" t="str">
        <f aca="false">IF(L144&gt;=SARThreshold,"REVIEW","OK")</f>
        <v>OK</v>
      </c>
    </row>
    <row r="145" customFormat="false" ht="15" hidden="false" customHeight="false" outlineLevel="0" collapsed="false">
      <c r="B145" s="17" t="s">
        <v>333</v>
      </c>
      <c r="C145" s="18" t="n">
        <v>46121</v>
      </c>
      <c r="D145" s="19" t="s">
        <v>127</v>
      </c>
      <c r="E145" s="17" t="s">
        <v>101</v>
      </c>
      <c r="F145" s="20" t="n">
        <v>10000</v>
      </c>
      <c r="G145" s="17" t="s">
        <v>14</v>
      </c>
      <c r="H145" s="17" t="s">
        <v>33</v>
      </c>
      <c r="I145" s="17" t="s">
        <v>67</v>
      </c>
      <c r="J145" s="21" t="n">
        <f aca="false">VLOOKUP(H145, Reference!$B$4:$D$24, 3, FALSE())</f>
        <v>15</v>
      </c>
      <c r="K145" s="21" t="n">
        <f aca="false">VLOOKUP(G145, Reference!$F$4:$G$11, 2, FALSE())</f>
        <v>15</v>
      </c>
      <c r="L145" s="22" t="n">
        <f aca="false">J145+K145+IF(F145&gt;10000, WRuleAmt10k, 0)+IF(AND(F145&gt;=9000, F145&lt;=9999), WRuleStructure, 0)+IF(MOD(F145,1000)=0, WRuleRound, 0)+IF(OR(VALUE(LEFT(D145,2))&lt;7, VALUE(LEFT(D145,2))&gt;21), WRuleAfterHours, 0)+IF(WEEKDAY(C145,2)&gt;5, WRuleWeekend, 0)+IF(I145="Yes", WRulePEP, 0)+IF(COUNTIFS($C$5:$C$204,C145,$E$5:$E$204,E145)&gt;10, WRuleVelocity, 0)</f>
        <v>40</v>
      </c>
      <c r="M145" s="23" t="str">
        <f aca="false">IF(L145&gt;=SARThreshold,"REVIEW","OK")</f>
        <v>OK</v>
      </c>
    </row>
    <row r="146" customFormat="false" ht="15" hidden="false" customHeight="false" outlineLevel="0" collapsed="false">
      <c r="B146" s="24" t="s">
        <v>334</v>
      </c>
      <c r="C146" s="25" t="n">
        <v>46136</v>
      </c>
      <c r="D146" s="26" t="s">
        <v>335</v>
      </c>
      <c r="E146" s="24" t="s">
        <v>162</v>
      </c>
      <c r="F146" s="27" t="n">
        <v>75000</v>
      </c>
      <c r="G146" s="24" t="s">
        <v>22</v>
      </c>
      <c r="H146" s="24" t="s">
        <v>17</v>
      </c>
      <c r="I146" s="24" t="s">
        <v>67</v>
      </c>
      <c r="J146" s="21" t="n">
        <f aca="false">VLOOKUP(H146, Reference!$B$4:$D$24, 3, FALSE())</f>
        <v>5</v>
      </c>
      <c r="K146" s="21" t="n">
        <f aca="false">VLOOKUP(G146, Reference!$F$4:$G$11, 2, FALSE())</f>
        <v>20</v>
      </c>
      <c r="L146" s="22" t="n">
        <f aca="false">J146+K146+IF(F146&gt;10000, WRuleAmt10k, 0)+IF(AND(F146&gt;=9000, F146&lt;=9999), WRuleStructure, 0)+IF(MOD(F146,1000)=0, WRuleRound, 0)+IF(OR(VALUE(LEFT(D146,2))&lt;7, VALUE(LEFT(D146,2))&gt;21), WRuleAfterHours, 0)+IF(WEEKDAY(C146,2)&gt;5, WRuleWeekend, 0)+IF(I146="Yes", WRulePEP, 0)+IF(COUNTIFS($C$5:$C$204,C146,$E$5:$E$204,E146)&gt;10, WRuleVelocity, 0)</f>
        <v>60</v>
      </c>
      <c r="M146" s="23" t="str">
        <f aca="false">IF(L146&gt;=SARThreshold,"REVIEW","OK")</f>
        <v>REVIEW</v>
      </c>
    </row>
    <row r="147" customFormat="false" ht="15" hidden="false" customHeight="false" outlineLevel="0" collapsed="false">
      <c r="B147" s="17" t="s">
        <v>336</v>
      </c>
      <c r="C147" s="18" t="n">
        <v>46140</v>
      </c>
      <c r="D147" s="19" t="s">
        <v>309</v>
      </c>
      <c r="E147" s="17" t="s">
        <v>117</v>
      </c>
      <c r="F147" s="20" t="n">
        <v>942</v>
      </c>
      <c r="G147" s="17" t="s">
        <v>20</v>
      </c>
      <c r="H147" s="17" t="s">
        <v>41</v>
      </c>
      <c r="I147" s="17" t="s">
        <v>67</v>
      </c>
      <c r="J147" s="21" t="n">
        <f aca="false">VLOOKUP(H147, Reference!$B$4:$D$24, 3, FALSE())</f>
        <v>50</v>
      </c>
      <c r="K147" s="21" t="n">
        <f aca="false">VLOOKUP(G147, Reference!$F$4:$G$11, 2, FALSE())</f>
        <v>5</v>
      </c>
      <c r="L147" s="22" t="n">
        <f aca="false">J147+K147+IF(F147&gt;10000, WRuleAmt10k, 0)+IF(AND(F147&gt;=9000, F147&lt;=9999), WRuleStructure, 0)+IF(MOD(F147,1000)=0, WRuleRound, 0)+IF(OR(VALUE(LEFT(D147,2))&lt;7, VALUE(LEFT(D147,2))&gt;21), WRuleAfterHours, 0)+IF(WEEKDAY(C147,2)&gt;5, WRuleWeekend, 0)+IF(I147="Yes", WRulePEP, 0)+IF(COUNTIFS($C$5:$C$204,C147,$E$5:$E$204,E147)&gt;10, WRuleVelocity, 0)</f>
        <v>55</v>
      </c>
      <c r="M147" s="23" t="str">
        <f aca="false">IF(L147&gt;=SARThreshold,"REVIEW","OK")</f>
        <v>OK</v>
      </c>
    </row>
    <row r="148" customFormat="false" ht="15" hidden="false" customHeight="false" outlineLevel="0" collapsed="false">
      <c r="B148" s="24" t="s">
        <v>337</v>
      </c>
      <c r="C148" s="25" t="n">
        <v>46116</v>
      </c>
      <c r="D148" s="26" t="s">
        <v>121</v>
      </c>
      <c r="E148" s="24" t="s">
        <v>98</v>
      </c>
      <c r="F148" s="27" t="n">
        <v>3774</v>
      </c>
      <c r="G148" s="24" t="s">
        <v>14</v>
      </c>
      <c r="H148" s="24" t="s">
        <v>31</v>
      </c>
      <c r="I148" s="24" t="s">
        <v>67</v>
      </c>
      <c r="J148" s="21" t="n">
        <f aca="false">VLOOKUP(H148, Reference!$B$4:$D$24, 3, FALSE())</f>
        <v>15</v>
      </c>
      <c r="K148" s="21" t="n">
        <f aca="false">VLOOKUP(G148, Reference!$F$4:$G$11, 2, FALSE())</f>
        <v>15</v>
      </c>
      <c r="L148" s="22" t="n">
        <f aca="false">J148+K148+IF(F148&gt;10000, WRuleAmt10k, 0)+IF(AND(F148&gt;=9000, F148&lt;=9999), WRuleStructure, 0)+IF(MOD(F148,1000)=0, WRuleRound, 0)+IF(OR(VALUE(LEFT(D148,2))&lt;7, VALUE(LEFT(D148,2))&gt;21), WRuleAfterHours, 0)+IF(WEEKDAY(C148,2)&gt;5, WRuleWeekend, 0)+IF(I148="Yes", WRulePEP, 0)+IF(COUNTIFS($C$5:$C$204,C148,$E$5:$E$204,E148)&gt;10, WRuleVelocity, 0)</f>
        <v>38</v>
      </c>
      <c r="M148" s="23" t="str">
        <f aca="false">IF(L148&gt;=SARThreshold,"REVIEW","OK")</f>
        <v>OK</v>
      </c>
    </row>
    <row r="149" customFormat="false" ht="15" hidden="false" customHeight="false" outlineLevel="0" collapsed="false">
      <c r="B149" s="17" t="s">
        <v>338</v>
      </c>
      <c r="C149" s="18" t="n">
        <v>46124</v>
      </c>
      <c r="D149" s="19" t="s">
        <v>65</v>
      </c>
      <c r="E149" s="17" t="s">
        <v>82</v>
      </c>
      <c r="F149" s="20" t="n">
        <v>9439</v>
      </c>
      <c r="G149" s="17" t="s">
        <v>12</v>
      </c>
      <c r="H149" s="17" t="s">
        <v>41</v>
      </c>
      <c r="I149" s="17" t="s">
        <v>67</v>
      </c>
      <c r="J149" s="21" t="n">
        <f aca="false">VLOOKUP(H149, Reference!$B$4:$D$24, 3, FALSE())</f>
        <v>50</v>
      </c>
      <c r="K149" s="21" t="n">
        <f aca="false">VLOOKUP(G149, Reference!$F$4:$G$11, 2, FALSE())</f>
        <v>10</v>
      </c>
      <c r="L149" s="22" t="n">
        <f aca="false">J149+K149+IF(F149&gt;10000, WRuleAmt10k, 0)+IF(AND(F149&gt;=9000, F149&lt;=9999), WRuleStructure, 0)+IF(MOD(F149,1000)=0, WRuleRound, 0)+IF(OR(VALUE(LEFT(D149,2))&lt;7, VALUE(LEFT(D149,2))&gt;21), WRuleAfterHours, 0)+IF(WEEKDAY(C149,2)&gt;5, WRuleWeekend, 0)+IF(I149="Yes", WRulePEP, 0)+IF(COUNTIFS($C$5:$C$204,C149,$E$5:$E$204,E149)&gt;10, WRuleVelocity, 0)</f>
        <v>108</v>
      </c>
      <c r="M149" s="23" t="str">
        <f aca="false">IF(L149&gt;=SARThreshold,"REVIEW","OK")</f>
        <v>REVIEW</v>
      </c>
    </row>
    <row r="150" customFormat="false" ht="15" hidden="false" customHeight="false" outlineLevel="0" collapsed="false">
      <c r="B150" s="24" t="s">
        <v>339</v>
      </c>
      <c r="C150" s="25" t="n">
        <v>46139</v>
      </c>
      <c r="D150" s="26" t="s">
        <v>340</v>
      </c>
      <c r="E150" s="24" t="s">
        <v>252</v>
      </c>
      <c r="F150" s="27" t="n">
        <v>5000</v>
      </c>
      <c r="G150" s="24" t="s">
        <v>22</v>
      </c>
      <c r="H150" s="24" t="s">
        <v>31</v>
      </c>
      <c r="I150" s="24" t="s">
        <v>79</v>
      </c>
      <c r="J150" s="21" t="n">
        <f aca="false">VLOOKUP(H150, Reference!$B$4:$D$24, 3, FALSE())</f>
        <v>15</v>
      </c>
      <c r="K150" s="21" t="n">
        <f aca="false">VLOOKUP(G150, Reference!$F$4:$G$11, 2, FALSE())</f>
        <v>20</v>
      </c>
      <c r="L150" s="22" t="n">
        <f aca="false">J150+K150+IF(F150&gt;10000, WRuleAmt10k, 0)+IF(AND(F150&gt;=9000, F150&lt;=9999), WRuleStructure, 0)+IF(MOD(F150,1000)=0, WRuleRound, 0)+IF(OR(VALUE(LEFT(D150,2))&lt;7, VALUE(LEFT(D150,2))&gt;21), WRuleAfterHours, 0)+IF(WEEKDAY(C150,2)&gt;5, WRuleWeekend, 0)+IF(I150="Yes", WRulePEP, 0)+IF(COUNTIFS($C$5:$C$204,C150,$E$5:$E$204,E150)&gt;10, WRuleVelocity, 0)</f>
        <v>80</v>
      </c>
      <c r="M150" s="23" t="str">
        <f aca="false">IF(L150&gt;=SARThreshold,"REVIEW","OK")</f>
        <v>REVIEW</v>
      </c>
    </row>
    <row r="151" customFormat="false" ht="15" hidden="false" customHeight="false" outlineLevel="0" collapsed="false">
      <c r="B151" s="17" t="s">
        <v>341</v>
      </c>
      <c r="C151" s="18" t="n">
        <v>46140</v>
      </c>
      <c r="D151" s="19" t="s">
        <v>324</v>
      </c>
      <c r="E151" s="17" t="s">
        <v>101</v>
      </c>
      <c r="F151" s="20" t="n">
        <v>9648</v>
      </c>
      <c r="G151" s="17" t="s">
        <v>12</v>
      </c>
      <c r="H151" s="17" t="s">
        <v>15</v>
      </c>
      <c r="I151" s="17" t="s">
        <v>67</v>
      </c>
      <c r="J151" s="21" t="n">
        <f aca="false">VLOOKUP(H151, Reference!$B$4:$D$24, 3, FALSE())</f>
        <v>5</v>
      </c>
      <c r="K151" s="21" t="n">
        <f aca="false">VLOOKUP(G151, Reference!$F$4:$G$11, 2, FALSE())</f>
        <v>10</v>
      </c>
      <c r="L151" s="22" t="n">
        <f aca="false">J151+K151+IF(F151&gt;10000, WRuleAmt10k, 0)+IF(AND(F151&gt;=9000, F151&lt;=9999), WRuleStructure, 0)+IF(MOD(F151,1000)=0, WRuleRound, 0)+IF(OR(VALUE(LEFT(D151,2))&lt;7, VALUE(LEFT(D151,2))&gt;21), WRuleAfterHours, 0)+IF(WEEKDAY(C151,2)&gt;5, WRuleWeekend, 0)+IF(I151="Yes", WRulePEP, 0)+IF(COUNTIFS($C$5:$C$204,C151,$E$5:$E$204,E151)&gt;10, WRuleVelocity, 0)</f>
        <v>55</v>
      </c>
      <c r="M151" s="23" t="str">
        <f aca="false">IF(L151&gt;=SARThreshold,"REVIEW","OK")</f>
        <v>OK</v>
      </c>
    </row>
    <row r="152" customFormat="false" ht="15" hidden="false" customHeight="false" outlineLevel="0" collapsed="false">
      <c r="B152" s="24" t="s">
        <v>342</v>
      </c>
      <c r="C152" s="25" t="n">
        <v>46119</v>
      </c>
      <c r="D152" s="26" t="s">
        <v>213</v>
      </c>
      <c r="E152" s="24" t="s">
        <v>148</v>
      </c>
      <c r="F152" s="27" t="n">
        <v>9319</v>
      </c>
      <c r="G152" s="24" t="s">
        <v>22</v>
      </c>
      <c r="H152" s="24" t="s">
        <v>39</v>
      </c>
      <c r="I152" s="24" t="s">
        <v>67</v>
      </c>
      <c r="J152" s="21" t="n">
        <f aca="false">VLOOKUP(H152, Reference!$B$4:$D$24, 3, FALSE())</f>
        <v>50</v>
      </c>
      <c r="K152" s="21" t="n">
        <f aca="false">VLOOKUP(G152, Reference!$F$4:$G$11, 2, FALSE())</f>
        <v>20</v>
      </c>
      <c r="L152" s="22" t="n">
        <f aca="false">J152+K152+IF(F152&gt;10000, WRuleAmt10k, 0)+IF(AND(F152&gt;=9000, F152&lt;=9999), WRuleStructure, 0)+IF(MOD(F152,1000)=0, WRuleRound, 0)+IF(OR(VALUE(LEFT(D152,2))&lt;7, VALUE(LEFT(D152,2))&gt;21), WRuleAfterHours, 0)+IF(WEEKDAY(C152,2)&gt;5, WRuleWeekend, 0)+IF(I152="Yes", WRulePEP, 0)+IF(COUNTIFS($C$5:$C$204,C152,$E$5:$E$204,E152)&gt;10, WRuleVelocity, 0)</f>
        <v>100</v>
      </c>
      <c r="M152" s="23" t="str">
        <f aca="false">IF(L152&gt;=SARThreshold,"REVIEW","OK")</f>
        <v>REVIEW</v>
      </c>
    </row>
    <row r="153" customFormat="false" ht="15" hidden="false" customHeight="false" outlineLevel="0" collapsed="false">
      <c r="B153" s="17" t="s">
        <v>343</v>
      </c>
      <c r="C153" s="18" t="n">
        <v>46141</v>
      </c>
      <c r="D153" s="19" t="s">
        <v>246</v>
      </c>
      <c r="E153" s="17" t="s">
        <v>215</v>
      </c>
      <c r="F153" s="20" t="n">
        <v>1436</v>
      </c>
      <c r="G153" s="17" t="s">
        <v>20</v>
      </c>
      <c r="H153" s="17" t="s">
        <v>34</v>
      </c>
      <c r="I153" s="17" t="s">
        <v>67</v>
      </c>
      <c r="J153" s="21" t="n">
        <f aca="false">VLOOKUP(H153, Reference!$B$4:$D$24, 3, FALSE())</f>
        <v>30</v>
      </c>
      <c r="K153" s="21" t="n">
        <f aca="false">VLOOKUP(G153, Reference!$F$4:$G$11, 2, FALSE())</f>
        <v>5</v>
      </c>
      <c r="L153" s="22" t="n">
        <f aca="false">J153+K153+IF(F153&gt;10000, WRuleAmt10k, 0)+IF(AND(F153&gt;=9000, F153&lt;=9999), WRuleStructure, 0)+IF(MOD(F153,1000)=0, WRuleRound, 0)+IF(OR(VALUE(LEFT(D153,2))&lt;7, VALUE(LEFT(D153,2))&gt;21), WRuleAfterHours, 0)+IF(WEEKDAY(C153,2)&gt;5, WRuleWeekend, 0)+IF(I153="Yes", WRulePEP, 0)+IF(COUNTIFS($C$5:$C$204,C153,$E$5:$E$204,E153)&gt;10, WRuleVelocity, 0)</f>
        <v>45</v>
      </c>
      <c r="M153" s="23" t="str">
        <f aca="false">IF(L153&gt;=SARThreshold,"REVIEW","OK")</f>
        <v>OK</v>
      </c>
    </row>
    <row r="154" customFormat="false" ht="15" hidden="false" customHeight="false" outlineLevel="0" collapsed="false">
      <c r="B154" s="24" t="s">
        <v>344</v>
      </c>
      <c r="C154" s="25" t="n">
        <v>46128</v>
      </c>
      <c r="D154" s="26" t="s">
        <v>345</v>
      </c>
      <c r="E154" s="24" t="s">
        <v>95</v>
      </c>
      <c r="F154" s="27" t="n">
        <v>9524</v>
      </c>
      <c r="G154" s="24" t="s">
        <v>14</v>
      </c>
      <c r="H154" s="24" t="s">
        <v>31</v>
      </c>
      <c r="I154" s="24" t="s">
        <v>67</v>
      </c>
      <c r="J154" s="21" t="n">
        <f aca="false">VLOOKUP(H154, Reference!$B$4:$D$24, 3, FALSE())</f>
        <v>15</v>
      </c>
      <c r="K154" s="21" t="n">
        <f aca="false">VLOOKUP(G154, Reference!$F$4:$G$11, 2, FALSE())</f>
        <v>15</v>
      </c>
      <c r="L154" s="22" t="n">
        <f aca="false">J154+K154+IF(F154&gt;10000, WRuleAmt10k, 0)+IF(AND(F154&gt;=9000, F154&lt;=9999), WRuleStructure, 0)+IF(MOD(F154,1000)=0, WRuleRound, 0)+IF(OR(VALUE(LEFT(D154,2))&lt;7, VALUE(LEFT(D154,2))&gt;21), WRuleAfterHours, 0)+IF(WEEKDAY(C154,2)&gt;5, WRuleWeekend, 0)+IF(I154="Yes", WRulePEP, 0)+IF(COUNTIFS($C$5:$C$204,C154,$E$5:$E$204,E154)&gt;10, WRuleVelocity, 0)</f>
        <v>60</v>
      </c>
      <c r="M154" s="23" t="str">
        <f aca="false">IF(L154&gt;=SARThreshold,"REVIEW","OK")</f>
        <v>REVIEW</v>
      </c>
    </row>
    <row r="155" customFormat="false" ht="15" hidden="false" customHeight="false" outlineLevel="0" collapsed="false">
      <c r="B155" s="17" t="s">
        <v>346</v>
      </c>
      <c r="C155" s="18" t="n">
        <v>46122</v>
      </c>
      <c r="D155" s="19" t="s">
        <v>347</v>
      </c>
      <c r="E155" s="17" t="s">
        <v>136</v>
      </c>
      <c r="F155" s="20" t="n">
        <v>5153</v>
      </c>
      <c r="G155" s="17" t="s">
        <v>12</v>
      </c>
      <c r="H155" s="17" t="s">
        <v>25</v>
      </c>
      <c r="I155" s="17" t="s">
        <v>67</v>
      </c>
      <c r="J155" s="21" t="n">
        <f aca="false">VLOOKUP(H155, Reference!$B$4:$D$24, 3, FALSE())</f>
        <v>5</v>
      </c>
      <c r="K155" s="21" t="n">
        <f aca="false">VLOOKUP(G155, Reference!$F$4:$G$11, 2, FALSE())</f>
        <v>10</v>
      </c>
      <c r="L155" s="22" t="n">
        <f aca="false">J155+K155+IF(F155&gt;10000, WRuleAmt10k, 0)+IF(AND(F155&gt;=9000, F155&lt;=9999), WRuleStructure, 0)+IF(MOD(F155,1000)=0, WRuleRound, 0)+IF(OR(VALUE(LEFT(D155,2))&lt;7, VALUE(LEFT(D155,2))&gt;21), WRuleAfterHours, 0)+IF(WEEKDAY(C155,2)&gt;5, WRuleWeekend, 0)+IF(I155="Yes", WRulePEP, 0)+IF(COUNTIFS($C$5:$C$204,C155,$E$5:$E$204,E155)&gt;10, WRuleVelocity, 0)</f>
        <v>15</v>
      </c>
      <c r="M155" s="23" t="str">
        <f aca="false">IF(L155&gt;=SARThreshold,"REVIEW","OK")</f>
        <v>OK</v>
      </c>
    </row>
    <row r="156" customFormat="false" ht="15" hidden="false" customHeight="false" outlineLevel="0" collapsed="false">
      <c r="B156" s="24" t="s">
        <v>348</v>
      </c>
      <c r="C156" s="25" t="n">
        <v>46132</v>
      </c>
      <c r="D156" s="26" t="s">
        <v>246</v>
      </c>
      <c r="E156" s="24" t="s">
        <v>139</v>
      </c>
      <c r="F156" s="27" t="n">
        <v>2348</v>
      </c>
      <c r="G156" s="24" t="s">
        <v>20</v>
      </c>
      <c r="H156" s="24" t="s">
        <v>29</v>
      </c>
      <c r="I156" s="24" t="s">
        <v>67</v>
      </c>
      <c r="J156" s="21" t="n">
        <f aca="false">VLOOKUP(H156, Reference!$B$4:$D$24, 3, FALSE())</f>
        <v>15</v>
      </c>
      <c r="K156" s="21" t="n">
        <f aca="false">VLOOKUP(G156, Reference!$F$4:$G$11, 2, FALSE())</f>
        <v>5</v>
      </c>
      <c r="L156" s="22" t="n">
        <f aca="false">J156+K156+IF(F156&gt;10000, WRuleAmt10k, 0)+IF(AND(F156&gt;=9000, F156&lt;=9999), WRuleStructure, 0)+IF(MOD(F156,1000)=0, WRuleRound, 0)+IF(OR(VALUE(LEFT(D156,2))&lt;7, VALUE(LEFT(D156,2))&gt;21), WRuleAfterHours, 0)+IF(WEEKDAY(C156,2)&gt;5, WRuleWeekend, 0)+IF(I156="Yes", WRulePEP, 0)+IF(COUNTIFS($C$5:$C$204,C156,$E$5:$E$204,E156)&gt;10, WRuleVelocity, 0)</f>
        <v>30</v>
      </c>
      <c r="M156" s="23" t="str">
        <f aca="false">IF(L156&gt;=SARThreshold,"REVIEW","OK")</f>
        <v>OK</v>
      </c>
    </row>
    <row r="157" customFormat="false" ht="15" hidden="false" customHeight="false" outlineLevel="0" collapsed="false">
      <c r="B157" s="17" t="s">
        <v>349</v>
      </c>
      <c r="C157" s="18" t="n">
        <v>46113</v>
      </c>
      <c r="D157" s="19" t="s">
        <v>208</v>
      </c>
      <c r="E157" s="17" t="s">
        <v>252</v>
      </c>
      <c r="F157" s="20" t="n">
        <v>9545</v>
      </c>
      <c r="G157" s="17" t="s">
        <v>18</v>
      </c>
      <c r="H157" s="17" t="s">
        <v>37</v>
      </c>
      <c r="I157" s="17" t="s">
        <v>67</v>
      </c>
      <c r="J157" s="21" t="n">
        <f aca="false">VLOOKUP(H157, Reference!$B$4:$D$24, 3, FALSE())</f>
        <v>30</v>
      </c>
      <c r="K157" s="21" t="n">
        <f aca="false">VLOOKUP(G157, Reference!$F$4:$G$11, 2, FALSE())</f>
        <v>5</v>
      </c>
      <c r="L157" s="22" t="n">
        <f aca="false">J157+K157+IF(F157&gt;10000, WRuleAmt10k, 0)+IF(AND(F157&gt;=9000, F157&lt;=9999), WRuleStructure, 0)+IF(MOD(F157,1000)=0, WRuleRound, 0)+IF(OR(VALUE(LEFT(D157,2))&lt;7, VALUE(LEFT(D157,2))&gt;21), WRuleAfterHours, 0)+IF(WEEKDAY(C157,2)&gt;5, WRuleWeekend, 0)+IF(I157="Yes", WRulePEP, 0)+IF(COUNTIFS($C$5:$C$204,C157,$E$5:$E$204,E157)&gt;10, WRuleVelocity, 0)</f>
        <v>65</v>
      </c>
      <c r="M157" s="23" t="str">
        <f aca="false">IF(L157&gt;=SARThreshold,"REVIEW","OK")</f>
        <v>REVIEW</v>
      </c>
    </row>
    <row r="158" customFormat="false" ht="15" hidden="false" customHeight="false" outlineLevel="0" collapsed="false">
      <c r="B158" s="24" t="s">
        <v>350</v>
      </c>
      <c r="C158" s="25" t="n">
        <v>46134</v>
      </c>
      <c r="D158" s="26" t="s">
        <v>127</v>
      </c>
      <c r="E158" s="24" t="s">
        <v>117</v>
      </c>
      <c r="F158" s="27" t="n">
        <v>7247</v>
      </c>
      <c r="G158" s="24" t="s">
        <v>12</v>
      </c>
      <c r="H158" s="24" t="s">
        <v>34</v>
      </c>
      <c r="I158" s="24" t="s">
        <v>67</v>
      </c>
      <c r="J158" s="21" t="n">
        <f aca="false">VLOOKUP(H158, Reference!$B$4:$D$24, 3, FALSE())</f>
        <v>30</v>
      </c>
      <c r="K158" s="21" t="n">
        <f aca="false">VLOOKUP(G158, Reference!$F$4:$G$11, 2, FALSE())</f>
        <v>10</v>
      </c>
      <c r="L158" s="22" t="n">
        <f aca="false">J158+K158+IF(F158&gt;10000, WRuleAmt10k, 0)+IF(AND(F158&gt;=9000, F158&lt;=9999), WRuleStructure, 0)+IF(MOD(F158,1000)=0, WRuleRound, 0)+IF(OR(VALUE(LEFT(D158,2))&lt;7, VALUE(LEFT(D158,2))&gt;21), WRuleAfterHours, 0)+IF(WEEKDAY(C158,2)&gt;5, WRuleWeekend, 0)+IF(I158="Yes", WRulePEP, 0)+IF(COUNTIFS($C$5:$C$204,C158,$E$5:$E$204,E158)&gt;10, WRuleVelocity, 0)</f>
        <v>40</v>
      </c>
      <c r="M158" s="23" t="str">
        <f aca="false">IF(L158&gt;=SARThreshold,"REVIEW","OK")</f>
        <v>OK</v>
      </c>
    </row>
    <row r="159" customFormat="false" ht="15" hidden="false" customHeight="false" outlineLevel="0" collapsed="false">
      <c r="B159" s="17" t="s">
        <v>351</v>
      </c>
      <c r="C159" s="18" t="n">
        <v>46140</v>
      </c>
      <c r="D159" s="19" t="s">
        <v>170</v>
      </c>
      <c r="E159" s="17" t="s">
        <v>82</v>
      </c>
      <c r="F159" s="20" t="n">
        <v>3000</v>
      </c>
      <c r="G159" s="17" t="s">
        <v>20</v>
      </c>
      <c r="H159" s="17" t="s">
        <v>17</v>
      </c>
      <c r="I159" s="17" t="s">
        <v>67</v>
      </c>
      <c r="J159" s="21" t="n">
        <f aca="false">VLOOKUP(H159, Reference!$B$4:$D$24, 3, FALSE())</f>
        <v>5</v>
      </c>
      <c r="K159" s="21" t="n">
        <f aca="false">VLOOKUP(G159, Reference!$F$4:$G$11, 2, FALSE())</f>
        <v>5</v>
      </c>
      <c r="L159" s="22" t="n">
        <f aca="false">J159+K159+IF(F159&gt;10000, WRuleAmt10k, 0)+IF(AND(F159&gt;=9000, F159&lt;=9999), WRuleStructure, 0)+IF(MOD(F159,1000)=0, WRuleRound, 0)+IF(OR(VALUE(LEFT(D159,2))&lt;7, VALUE(LEFT(D159,2))&gt;21), WRuleAfterHours, 0)+IF(WEEKDAY(C159,2)&gt;5, WRuleWeekend, 0)+IF(I159="Yes", WRulePEP, 0)+IF(COUNTIFS($C$5:$C$204,C159,$E$5:$E$204,E159)&gt;10, WRuleVelocity, 0)</f>
        <v>20</v>
      </c>
      <c r="M159" s="23" t="str">
        <f aca="false">IF(L159&gt;=SARThreshold,"REVIEW","OK")</f>
        <v>OK</v>
      </c>
    </row>
    <row r="160" customFormat="false" ht="15" hidden="false" customHeight="false" outlineLevel="0" collapsed="false">
      <c r="B160" s="24" t="s">
        <v>352</v>
      </c>
      <c r="C160" s="25" t="n">
        <v>46123</v>
      </c>
      <c r="D160" s="26" t="s">
        <v>195</v>
      </c>
      <c r="E160" s="24" t="s">
        <v>128</v>
      </c>
      <c r="F160" s="27" t="n">
        <v>6028</v>
      </c>
      <c r="G160" s="24" t="s">
        <v>14</v>
      </c>
      <c r="H160" s="24" t="s">
        <v>33</v>
      </c>
      <c r="I160" s="24" t="s">
        <v>67</v>
      </c>
      <c r="J160" s="21" t="n">
        <f aca="false">VLOOKUP(H160, Reference!$B$4:$D$24, 3, FALSE())</f>
        <v>15</v>
      </c>
      <c r="K160" s="21" t="n">
        <f aca="false">VLOOKUP(G160, Reference!$F$4:$G$11, 2, FALSE())</f>
        <v>15</v>
      </c>
      <c r="L160" s="22" t="n">
        <f aca="false">J160+K160+IF(F160&gt;10000, WRuleAmt10k, 0)+IF(AND(F160&gt;=9000, F160&lt;=9999), WRuleStructure, 0)+IF(MOD(F160,1000)=0, WRuleRound, 0)+IF(OR(VALUE(LEFT(D160,2))&lt;7, VALUE(LEFT(D160,2))&gt;21), WRuleAfterHours, 0)+IF(WEEKDAY(C160,2)&gt;5, WRuleWeekend, 0)+IF(I160="Yes", WRulePEP, 0)+IF(COUNTIFS($C$5:$C$204,C160,$E$5:$E$204,E160)&gt;10, WRuleVelocity, 0)</f>
        <v>48</v>
      </c>
      <c r="M160" s="23" t="str">
        <f aca="false">IF(L160&gt;=SARThreshold,"REVIEW","OK")</f>
        <v>OK</v>
      </c>
    </row>
    <row r="161" customFormat="false" ht="15" hidden="false" customHeight="false" outlineLevel="0" collapsed="false">
      <c r="B161" s="17" t="s">
        <v>353</v>
      </c>
      <c r="C161" s="18" t="n">
        <v>46120</v>
      </c>
      <c r="D161" s="19" t="s">
        <v>275</v>
      </c>
      <c r="E161" s="17" t="s">
        <v>107</v>
      </c>
      <c r="F161" s="20" t="n">
        <v>25000</v>
      </c>
      <c r="G161" s="17" t="s">
        <v>22</v>
      </c>
      <c r="H161" s="17" t="s">
        <v>25</v>
      </c>
      <c r="I161" s="17" t="s">
        <v>67</v>
      </c>
      <c r="J161" s="21" t="n">
        <f aca="false">VLOOKUP(H161, Reference!$B$4:$D$24, 3, FALSE())</f>
        <v>5</v>
      </c>
      <c r="K161" s="21" t="n">
        <f aca="false">VLOOKUP(G161, Reference!$F$4:$G$11, 2, FALSE())</f>
        <v>20</v>
      </c>
      <c r="L161" s="22" t="n">
        <f aca="false">J161+K161+IF(F161&gt;10000, WRuleAmt10k, 0)+IF(AND(F161&gt;=9000, F161&lt;=9999), WRuleStructure, 0)+IF(MOD(F161,1000)=0, WRuleRound, 0)+IF(OR(VALUE(LEFT(D161,2))&lt;7, VALUE(LEFT(D161,2))&gt;21), WRuleAfterHours, 0)+IF(WEEKDAY(C161,2)&gt;5, WRuleWeekend, 0)+IF(I161="Yes", WRulePEP, 0)+IF(COUNTIFS($C$5:$C$204,C161,$E$5:$E$204,E161)&gt;10, WRuleVelocity, 0)</f>
        <v>60</v>
      </c>
      <c r="M161" s="23" t="str">
        <f aca="false">IF(L161&gt;=SARThreshold,"REVIEW","OK")</f>
        <v>REVIEW</v>
      </c>
    </row>
    <row r="162" customFormat="false" ht="15" hidden="false" customHeight="false" outlineLevel="0" collapsed="false">
      <c r="B162" s="24" t="s">
        <v>354</v>
      </c>
      <c r="C162" s="25" t="n">
        <v>46118</v>
      </c>
      <c r="D162" s="26" t="s">
        <v>273</v>
      </c>
      <c r="E162" s="24" t="s">
        <v>107</v>
      </c>
      <c r="F162" s="27" t="n">
        <v>5824</v>
      </c>
      <c r="G162" s="24" t="s">
        <v>22</v>
      </c>
      <c r="H162" s="24" t="s">
        <v>42</v>
      </c>
      <c r="I162" s="24" t="s">
        <v>67</v>
      </c>
      <c r="J162" s="21" t="n">
        <f aca="false">VLOOKUP(H162, Reference!$B$4:$D$24, 3, FALSE())</f>
        <v>50</v>
      </c>
      <c r="K162" s="21" t="n">
        <f aca="false">VLOOKUP(G162, Reference!$F$4:$G$11, 2, FALSE())</f>
        <v>20</v>
      </c>
      <c r="L162" s="22" t="n">
        <f aca="false">J162+K162+IF(F162&gt;10000, WRuleAmt10k, 0)+IF(AND(F162&gt;=9000, F162&lt;=9999), WRuleStructure, 0)+IF(MOD(F162,1000)=0, WRuleRound, 0)+IF(OR(VALUE(LEFT(D162,2))&lt;7, VALUE(LEFT(D162,2))&gt;21), WRuleAfterHours, 0)+IF(WEEKDAY(C162,2)&gt;5, WRuleWeekend, 0)+IF(I162="Yes", WRulePEP, 0)+IF(COUNTIFS($C$5:$C$204,C162,$E$5:$E$204,E162)&gt;10, WRuleVelocity, 0)</f>
        <v>80</v>
      </c>
      <c r="M162" s="23" t="str">
        <f aca="false">IF(L162&gt;=SARThreshold,"REVIEW","OK")</f>
        <v>REVIEW</v>
      </c>
    </row>
    <row r="163" customFormat="false" ht="15" hidden="false" customHeight="false" outlineLevel="0" collapsed="false">
      <c r="B163" s="17" t="s">
        <v>355</v>
      </c>
      <c r="C163" s="18" t="n">
        <v>46120</v>
      </c>
      <c r="D163" s="19" t="s">
        <v>65</v>
      </c>
      <c r="E163" s="17" t="s">
        <v>70</v>
      </c>
      <c r="F163" s="20" t="n">
        <v>9156</v>
      </c>
      <c r="G163" s="17" t="s">
        <v>14</v>
      </c>
      <c r="H163" s="17" t="s">
        <v>21</v>
      </c>
      <c r="I163" s="17" t="s">
        <v>67</v>
      </c>
      <c r="J163" s="21" t="n">
        <f aca="false">VLOOKUP(H163, Reference!$B$4:$D$24, 3, FALSE())</f>
        <v>5</v>
      </c>
      <c r="K163" s="21" t="n">
        <f aca="false">VLOOKUP(G163, Reference!$F$4:$G$11, 2, FALSE())</f>
        <v>15</v>
      </c>
      <c r="L163" s="22" t="n">
        <f aca="false">J163+K163+IF(F163&gt;10000, WRuleAmt10k, 0)+IF(AND(F163&gt;=9000, F163&lt;=9999), WRuleStructure, 0)+IF(MOD(F163,1000)=0, WRuleRound, 0)+IF(OR(VALUE(LEFT(D163,2))&lt;7, VALUE(LEFT(D163,2))&gt;21), WRuleAfterHours, 0)+IF(WEEKDAY(C163,2)&gt;5, WRuleWeekend, 0)+IF(I163="Yes", WRulePEP, 0)+IF(COUNTIFS($C$5:$C$204,C163,$E$5:$E$204,E163)&gt;10, WRuleVelocity, 0)</f>
        <v>60</v>
      </c>
      <c r="M163" s="23" t="str">
        <f aca="false">IF(L163&gt;=SARThreshold,"REVIEW","OK")</f>
        <v>REVIEW</v>
      </c>
    </row>
    <row r="164" customFormat="false" ht="15" hidden="false" customHeight="false" outlineLevel="0" collapsed="false">
      <c r="B164" s="24" t="s">
        <v>356</v>
      </c>
      <c r="C164" s="25" t="n">
        <v>46133</v>
      </c>
      <c r="D164" s="26" t="s">
        <v>357</v>
      </c>
      <c r="E164" s="24" t="s">
        <v>215</v>
      </c>
      <c r="F164" s="27" t="n">
        <v>5395</v>
      </c>
      <c r="G164" s="24" t="s">
        <v>22</v>
      </c>
      <c r="H164" s="24" t="s">
        <v>19</v>
      </c>
      <c r="I164" s="24" t="s">
        <v>67</v>
      </c>
      <c r="J164" s="21" t="n">
        <f aca="false">VLOOKUP(H164, Reference!$B$4:$D$24, 3, FALSE())</f>
        <v>5</v>
      </c>
      <c r="K164" s="21" t="n">
        <f aca="false">VLOOKUP(G164, Reference!$F$4:$G$11, 2, FALSE())</f>
        <v>20</v>
      </c>
      <c r="L164" s="22" t="n">
        <f aca="false">J164+K164+IF(F164&gt;10000, WRuleAmt10k, 0)+IF(AND(F164&gt;=9000, F164&lt;=9999), WRuleStructure, 0)+IF(MOD(F164,1000)=0, WRuleRound, 0)+IF(OR(VALUE(LEFT(D164,2))&lt;7, VALUE(LEFT(D164,2))&gt;21), WRuleAfterHours, 0)+IF(WEEKDAY(C164,2)&gt;5, WRuleWeekend, 0)+IF(I164="Yes", WRulePEP, 0)+IF(COUNTIFS($C$5:$C$204,C164,$E$5:$E$204,E164)&gt;10, WRuleVelocity, 0)</f>
        <v>25</v>
      </c>
      <c r="M164" s="23" t="str">
        <f aca="false">IF(L164&gt;=SARThreshold,"REVIEW","OK")</f>
        <v>OK</v>
      </c>
    </row>
    <row r="165" customFormat="false" ht="15" hidden="false" customHeight="false" outlineLevel="0" collapsed="false">
      <c r="B165" s="17" t="s">
        <v>358</v>
      </c>
      <c r="C165" s="18" t="n">
        <v>46128</v>
      </c>
      <c r="D165" s="19" t="s">
        <v>106</v>
      </c>
      <c r="E165" s="17" t="s">
        <v>78</v>
      </c>
      <c r="F165" s="20" t="n">
        <v>1000</v>
      </c>
      <c r="G165" s="17" t="s">
        <v>22</v>
      </c>
      <c r="H165" s="17" t="s">
        <v>37</v>
      </c>
      <c r="I165" s="17" t="s">
        <v>79</v>
      </c>
      <c r="J165" s="21" t="n">
        <f aca="false">VLOOKUP(H165, Reference!$B$4:$D$24, 3, FALSE())</f>
        <v>30</v>
      </c>
      <c r="K165" s="21" t="n">
        <f aca="false">VLOOKUP(G165, Reference!$F$4:$G$11, 2, FALSE())</f>
        <v>20</v>
      </c>
      <c r="L165" s="22" t="n">
        <f aca="false">J165+K165+IF(F165&gt;10000, WRuleAmt10k, 0)+IF(AND(F165&gt;=9000, F165&lt;=9999), WRuleStructure, 0)+IF(MOD(F165,1000)=0, WRuleRound, 0)+IF(OR(VALUE(LEFT(D165,2))&lt;7, VALUE(LEFT(D165,2))&gt;21), WRuleAfterHours, 0)+IF(WEEKDAY(C165,2)&gt;5, WRuleWeekend, 0)+IF(I165="Yes", WRulePEP, 0)+IF(COUNTIFS($C$5:$C$204,C165,$E$5:$E$204,E165)&gt;10, WRuleVelocity, 0)</f>
        <v>85</v>
      </c>
      <c r="M165" s="23" t="str">
        <f aca="false">IF(L165&gt;=SARThreshold,"REVIEW","OK")</f>
        <v>REVIEW</v>
      </c>
    </row>
    <row r="166" customFormat="false" ht="15" hidden="false" customHeight="false" outlineLevel="0" collapsed="false">
      <c r="B166" s="24" t="s">
        <v>359</v>
      </c>
      <c r="C166" s="25" t="n">
        <v>46127</v>
      </c>
      <c r="D166" s="26" t="s">
        <v>205</v>
      </c>
      <c r="E166" s="24" t="s">
        <v>182</v>
      </c>
      <c r="F166" s="27" t="n">
        <v>1357</v>
      </c>
      <c r="G166" s="24" t="s">
        <v>14</v>
      </c>
      <c r="H166" s="24" t="s">
        <v>41</v>
      </c>
      <c r="I166" s="24" t="s">
        <v>67</v>
      </c>
      <c r="J166" s="21" t="n">
        <f aca="false">VLOOKUP(H166, Reference!$B$4:$D$24, 3, FALSE())</f>
        <v>50</v>
      </c>
      <c r="K166" s="21" t="n">
        <f aca="false">VLOOKUP(G166, Reference!$F$4:$G$11, 2, FALSE())</f>
        <v>15</v>
      </c>
      <c r="L166" s="22" t="n">
        <f aca="false">J166+K166+IF(F166&gt;10000, WRuleAmt10k, 0)+IF(AND(F166&gt;=9000, F166&lt;=9999), WRuleStructure, 0)+IF(MOD(F166,1000)=0, WRuleRound, 0)+IF(OR(VALUE(LEFT(D166,2))&lt;7, VALUE(LEFT(D166,2))&gt;21), WRuleAfterHours, 0)+IF(WEEKDAY(C166,2)&gt;5, WRuleWeekend, 0)+IF(I166="Yes", WRulePEP, 0)+IF(COUNTIFS($C$5:$C$204,C166,$E$5:$E$204,E166)&gt;10, WRuleVelocity, 0)</f>
        <v>65</v>
      </c>
      <c r="M166" s="23" t="str">
        <f aca="false">IF(L166&gt;=SARThreshold,"REVIEW","OK")</f>
        <v>REVIEW</v>
      </c>
    </row>
    <row r="167" customFormat="false" ht="15" hidden="false" customHeight="false" outlineLevel="0" collapsed="false">
      <c r="B167" s="17" t="s">
        <v>360</v>
      </c>
      <c r="C167" s="18" t="n">
        <v>46125</v>
      </c>
      <c r="D167" s="19" t="s">
        <v>361</v>
      </c>
      <c r="E167" s="17" t="s">
        <v>75</v>
      </c>
      <c r="F167" s="20" t="n">
        <v>772</v>
      </c>
      <c r="G167" s="17" t="s">
        <v>26</v>
      </c>
      <c r="H167" s="17" t="s">
        <v>39</v>
      </c>
      <c r="I167" s="17" t="s">
        <v>67</v>
      </c>
      <c r="J167" s="21" t="n">
        <f aca="false">VLOOKUP(H167, Reference!$B$4:$D$24, 3, FALSE())</f>
        <v>50</v>
      </c>
      <c r="K167" s="21" t="n">
        <f aca="false">VLOOKUP(G167, Reference!$F$4:$G$11, 2, FALSE())</f>
        <v>20</v>
      </c>
      <c r="L167" s="22" t="n">
        <f aca="false">J167+K167+IF(F167&gt;10000, WRuleAmt10k, 0)+IF(AND(F167&gt;=9000, F167&lt;=9999), WRuleStructure, 0)+IF(MOD(F167,1000)=0, WRuleRound, 0)+IF(OR(VALUE(LEFT(D167,2))&lt;7, VALUE(LEFT(D167,2))&gt;21), WRuleAfterHours, 0)+IF(WEEKDAY(C167,2)&gt;5, WRuleWeekend, 0)+IF(I167="Yes", WRulePEP, 0)+IF(COUNTIFS($C$5:$C$204,C167,$E$5:$E$204,E167)&gt;10, WRuleVelocity, 0)</f>
        <v>70</v>
      </c>
      <c r="M167" s="23" t="str">
        <f aca="false">IF(L167&gt;=SARThreshold,"REVIEW","OK")</f>
        <v>REVIEW</v>
      </c>
    </row>
    <row r="168" customFormat="false" ht="15" hidden="false" customHeight="false" outlineLevel="0" collapsed="false">
      <c r="B168" s="24" t="s">
        <v>362</v>
      </c>
      <c r="C168" s="25" t="n">
        <v>46123</v>
      </c>
      <c r="D168" s="26" t="s">
        <v>301</v>
      </c>
      <c r="E168" s="24" t="s">
        <v>98</v>
      </c>
      <c r="F168" s="27" t="n">
        <v>7481</v>
      </c>
      <c r="G168" s="24" t="s">
        <v>14</v>
      </c>
      <c r="H168" s="24" t="s">
        <v>30</v>
      </c>
      <c r="I168" s="24" t="s">
        <v>67</v>
      </c>
      <c r="J168" s="21" t="n">
        <f aca="false">VLOOKUP(H168, Reference!$B$4:$D$24, 3, FALSE())</f>
        <v>15</v>
      </c>
      <c r="K168" s="21" t="n">
        <f aca="false">VLOOKUP(G168, Reference!$F$4:$G$11, 2, FALSE())</f>
        <v>15</v>
      </c>
      <c r="L168" s="22" t="n">
        <f aca="false">J168+K168+IF(F168&gt;10000, WRuleAmt10k, 0)+IF(AND(F168&gt;=9000, F168&lt;=9999), WRuleStructure, 0)+IF(MOD(F168,1000)=0, WRuleRound, 0)+IF(OR(VALUE(LEFT(D168,2))&lt;7, VALUE(LEFT(D168,2))&gt;21), WRuleAfterHours, 0)+IF(WEEKDAY(C168,2)&gt;5, WRuleWeekend, 0)+IF(I168="Yes", WRulePEP, 0)+IF(COUNTIFS($C$5:$C$204,C168,$E$5:$E$204,E168)&gt;10, WRuleVelocity, 0)</f>
        <v>38</v>
      </c>
      <c r="M168" s="23" t="str">
        <f aca="false">IF(L168&gt;=SARThreshold,"REVIEW","OK")</f>
        <v>OK</v>
      </c>
    </row>
    <row r="169" customFormat="false" ht="15" hidden="false" customHeight="false" outlineLevel="0" collapsed="false">
      <c r="B169" s="17" t="s">
        <v>363</v>
      </c>
      <c r="C169" s="18" t="n">
        <v>46115</v>
      </c>
      <c r="D169" s="19" t="s">
        <v>109</v>
      </c>
      <c r="E169" s="17" t="s">
        <v>142</v>
      </c>
      <c r="F169" s="20" t="n">
        <v>9448</v>
      </c>
      <c r="G169" s="17" t="s">
        <v>26</v>
      </c>
      <c r="H169" s="17" t="s">
        <v>37</v>
      </c>
      <c r="I169" s="17" t="s">
        <v>67</v>
      </c>
      <c r="J169" s="21" t="n">
        <f aca="false">VLOOKUP(H169, Reference!$B$4:$D$24, 3, FALSE())</f>
        <v>30</v>
      </c>
      <c r="K169" s="21" t="n">
        <f aca="false">VLOOKUP(G169, Reference!$F$4:$G$11, 2, FALSE())</f>
        <v>20</v>
      </c>
      <c r="L169" s="22" t="n">
        <f aca="false">J169+K169+IF(F169&gt;10000, WRuleAmt10k, 0)+IF(AND(F169&gt;=9000, F169&lt;=9999), WRuleStructure, 0)+IF(MOD(F169,1000)=0, WRuleRound, 0)+IF(OR(VALUE(LEFT(D169,2))&lt;7, VALUE(LEFT(D169,2))&gt;21), WRuleAfterHours, 0)+IF(WEEKDAY(C169,2)&gt;5, WRuleWeekend, 0)+IF(I169="Yes", WRulePEP, 0)+IF(COUNTIFS($C$5:$C$204,C169,$E$5:$E$204,E169)&gt;10, WRuleVelocity, 0)</f>
        <v>80</v>
      </c>
      <c r="M169" s="23" t="str">
        <f aca="false">IF(L169&gt;=SARThreshold,"REVIEW","OK")</f>
        <v>REVIEW</v>
      </c>
    </row>
    <row r="170" customFormat="false" ht="15" hidden="false" customHeight="false" outlineLevel="0" collapsed="false">
      <c r="B170" s="24" t="s">
        <v>364</v>
      </c>
      <c r="C170" s="25" t="n">
        <v>46118</v>
      </c>
      <c r="D170" s="26" t="s">
        <v>77</v>
      </c>
      <c r="E170" s="24" t="s">
        <v>85</v>
      </c>
      <c r="F170" s="27" t="n">
        <v>5000</v>
      </c>
      <c r="G170" s="24" t="s">
        <v>12</v>
      </c>
      <c r="H170" s="24" t="s">
        <v>42</v>
      </c>
      <c r="I170" s="24" t="s">
        <v>67</v>
      </c>
      <c r="J170" s="21" t="n">
        <f aca="false">VLOOKUP(H170, Reference!$B$4:$D$24, 3, FALSE())</f>
        <v>50</v>
      </c>
      <c r="K170" s="21" t="n">
        <f aca="false">VLOOKUP(G170, Reference!$F$4:$G$11, 2, FALSE())</f>
        <v>10</v>
      </c>
      <c r="L170" s="22" t="n">
        <f aca="false">J170+K170+IF(F170&gt;10000, WRuleAmt10k, 0)+IF(AND(F170&gt;=9000, F170&lt;=9999), WRuleStructure, 0)+IF(MOD(F170,1000)=0, WRuleRound, 0)+IF(OR(VALUE(LEFT(D170,2))&lt;7, VALUE(LEFT(D170,2))&gt;21), WRuleAfterHours, 0)+IF(WEEKDAY(C170,2)&gt;5, WRuleWeekend, 0)+IF(I170="Yes", WRulePEP, 0)+IF(COUNTIFS($C$5:$C$204,C170,$E$5:$E$204,E170)&gt;10, WRuleVelocity, 0)</f>
        <v>70</v>
      </c>
      <c r="M170" s="23" t="str">
        <f aca="false">IF(L170&gt;=SARThreshold,"REVIEW","OK")</f>
        <v>REVIEW</v>
      </c>
    </row>
    <row r="171" customFormat="false" ht="15" hidden="false" customHeight="false" outlineLevel="0" collapsed="false">
      <c r="B171" s="17" t="s">
        <v>365</v>
      </c>
      <c r="C171" s="18" t="n">
        <v>46115</v>
      </c>
      <c r="D171" s="19" t="s">
        <v>366</v>
      </c>
      <c r="E171" s="17" t="s">
        <v>104</v>
      </c>
      <c r="F171" s="20" t="n">
        <v>5000</v>
      </c>
      <c r="G171" s="17" t="s">
        <v>16</v>
      </c>
      <c r="H171" s="17" t="s">
        <v>30</v>
      </c>
      <c r="I171" s="17" t="s">
        <v>67</v>
      </c>
      <c r="J171" s="21" t="n">
        <f aca="false">VLOOKUP(H171, Reference!$B$4:$D$24, 3, FALSE())</f>
        <v>15</v>
      </c>
      <c r="K171" s="21" t="n">
        <f aca="false">VLOOKUP(G171, Reference!$F$4:$G$11, 2, FALSE())</f>
        <v>15</v>
      </c>
      <c r="L171" s="22" t="n">
        <f aca="false">J171+K171+IF(F171&gt;10000, WRuleAmt10k, 0)+IF(AND(F171&gt;=9000, F171&lt;=9999), WRuleStructure, 0)+IF(MOD(F171,1000)=0, WRuleRound, 0)+IF(OR(VALUE(LEFT(D171,2))&lt;7, VALUE(LEFT(D171,2))&gt;21), WRuleAfterHours, 0)+IF(WEEKDAY(C171,2)&gt;5, WRuleWeekend, 0)+IF(I171="Yes", WRulePEP, 0)+IF(COUNTIFS($C$5:$C$204,C171,$E$5:$E$204,E171)&gt;10, WRuleVelocity, 0)</f>
        <v>40</v>
      </c>
      <c r="M171" s="23" t="str">
        <f aca="false">IF(L171&gt;=SARThreshold,"REVIEW","OK")</f>
        <v>OK</v>
      </c>
    </row>
    <row r="172" customFormat="false" ht="15" hidden="false" customHeight="false" outlineLevel="0" collapsed="false">
      <c r="B172" s="24" t="s">
        <v>367</v>
      </c>
      <c r="C172" s="25" t="n">
        <v>46134</v>
      </c>
      <c r="D172" s="26" t="s">
        <v>258</v>
      </c>
      <c r="E172" s="24" t="s">
        <v>139</v>
      </c>
      <c r="F172" s="27" t="n">
        <v>6521</v>
      </c>
      <c r="G172" s="24" t="s">
        <v>16</v>
      </c>
      <c r="H172" s="24" t="s">
        <v>41</v>
      </c>
      <c r="I172" s="24" t="s">
        <v>67</v>
      </c>
      <c r="J172" s="21" t="n">
        <f aca="false">VLOOKUP(H172, Reference!$B$4:$D$24, 3, FALSE())</f>
        <v>50</v>
      </c>
      <c r="K172" s="21" t="n">
        <f aca="false">VLOOKUP(G172, Reference!$F$4:$G$11, 2, FALSE())</f>
        <v>15</v>
      </c>
      <c r="L172" s="22" t="n">
        <f aca="false">J172+K172+IF(F172&gt;10000, WRuleAmt10k, 0)+IF(AND(F172&gt;=9000, F172&lt;=9999), WRuleStructure, 0)+IF(MOD(F172,1000)=0, WRuleRound, 0)+IF(OR(VALUE(LEFT(D172,2))&lt;7, VALUE(LEFT(D172,2))&gt;21), WRuleAfterHours, 0)+IF(WEEKDAY(C172,2)&gt;5, WRuleWeekend, 0)+IF(I172="Yes", WRulePEP, 0)+IF(COUNTIFS($C$5:$C$204,C172,$E$5:$E$204,E172)&gt;10, WRuleVelocity, 0)</f>
        <v>75</v>
      </c>
      <c r="M172" s="23" t="str">
        <f aca="false">IF(L172&gt;=SARThreshold,"REVIEW","OK")</f>
        <v>REVIEW</v>
      </c>
    </row>
    <row r="173" customFormat="false" ht="15" hidden="false" customHeight="false" outlineLevel="0" collapsed="false">
      <c r="B173" s="17" t="s">
        <v>368</v>
      </c>
      <c r="C173" s="18" t="n">
        <v>46115</v>
      </c>
      <c r="D173" s="19" t="s">
        <v>154</v>
      </c>
      <c r="E173" s="17" t="s">
        <v>224</v>
      </c>
      <c r="F173" s="20" t="n">
        <v>2193</v>
      </c>
      <c r="G173" s="17" t="s">
        <v>14</v>
      </c>
      <c r="H173" s="17" t="s">
        <v>42</v>
      </c>
      <c r="I173" s="17" t="s">
        <v>67</v>
      </c>
      <c r="J173" s="21" t="n">
        <f aca="false">VLOOKUP(H173, Reference!$B$4:$D$24, 3, FALSE())</f>
        <v>50</v>
      </c>
      <c r="K173" s="21" t="n">
        <f aca="false">VLOOKUP(G173, Reference!$F$4:$G$11, 2, FALSE())</f>
        <v>15</v>
      </c>
      <c r="L173" s="22" t="n">
        <f aca="false">J173+K173+IF(F173&gt;10000, WRuleAmt10k, 0)+IF(AND(F173&gt;=9000, F173&lt;=9999), WRuleStructure, 0)+IF(MOD(F173,1000)=0, WRuleRound, 0)+IF(OR(VALUE(LEFT(D173,2))&lt;7, VALUE(LEFT(D173,2))&gt;21), WRuleAfterHours, 0)+IF(WEEKDAY(C173,2)&gt;5, WRuleWeekend, 0)+IF(I173="Yes", WRulePEP, 0)+IF(COUNTIFS($C$5:$C$204,C173,$E$5:$E$204,E173)&gt;10, WRuleVelocity, 0)</f>
        <v>65</v>
      </c>
      <c r="M173" s="23" t="str">
        <f aca="false">IF(L173&gt;=SARThreshold,"REVIEW","OK")</f>
        <v>REVIEW</v>
      </c>
    </row>
    <row r="174" customFormat="false" ht="15" hidden="false" customHeight="false" outlineLevel="0" collapsed="false">
      <c r="B174" s="24" t="s">
        <v>369</v>
      </c>
      <c r="C174" s="25" t="n">
        <v>46129</v>
      </c>
      <c r="D174" s="26" t="s">
        <v>77</v>
      </c>
      <c r="E174" s="24" t="s">
        <v>139</v>
      </c>
      <c r="F174" s="27" t="n">
        <v>9219</v>
      </c>
      <c r="G174" s="24" t="s">
        <v>22</v>
      </c>
      <c r="H174" s="24" t="s">
        <v>36</v>
      </c>
      <c r="I174" s="24" t="s">
        <v>67</v>
      </c>
      <c r="J174" s="21" t="n">
        <f aca="false">VLOOKUP(H174, Reference!$B$4:$D$24, 3, FALSE())</f>
        <v>30</v>
      </c>
      <c r="K174" s="21" t="n">
        <f aca="false">VLOOKUP(G174, Reference!$F$4:$G$11, 2, FALSE())</f>
        <v>20</v>
      </c>
      <c r="L174" s="22" t="n">
        <f aca="false">J174+K174+IF(F174&gt;10000, WRuleAmt10k, 0)+IF(AND(F174&gt;=9000, F174&lt;=9999), WRuleStructure, 0)+IF(MOD(F174,1000)=0, WRuleRound, 0)+IF(OR(VALUE(LEFT(D174,2))&lt;7, VALUE(LEFT(D174,2))&gt;21), WRuleAfterHours, 0)+IF(WEEKDAY(C174,2)&gt;5, WRuleWeekend, 0)+IF(I174="Yes", WRulePEP, 0)+IF(COUNTIFS($C$5:$C$204,C174,$E$5:$E$204,E174)&gt;10, WRuleVelocity, 0)</f>
        <v>80</v>
      </c>
      <c r="M174" s="23" t="str">
        <f aca="false">IF(L174&gt;=SARThreshold,"REVIEW","OK")</f>
        <v>REVIEW</v>
      </c>
    </row>
    <row r="175" customFormat="false" ht="15" hidden="false" customHeight="false" outlineLevel="0" collapsed="false">
      <c r="B175" s="17" t="s">
        <v>370</v>
      </c>
      <c r="C175" s="18" t="n">
        <v>46117</v>
      </c>
      <c r="D175" s="19" t="s">
        <v>258</v>
      </c>
      <c r="E175" s="17" t="s">
        <v>117</v>
      </c>
      <c r="F175" s="20" t="n">
        <v>8417</v>
      </c>
      <c r="G175" s="17" t="s">
        <v>12</v>
      </c>
      <c r="H175" s="17" t="s">
        <v>30</v>
      </c>
      <c r="I175" s="17" t="s">
        <v>67</v>
      </c>
      <c r="J175" s="21" t="n">
        <f aca="false">VLOOKUP(H175, Reference!$B$4:$D$24, 3, FALSE())</f>
        <v>15</v>
      </c>
      <c r="K175" s="21" t="n">
        <f aca="false">VLOOKUP(G175, Reference!$F$4:$G$11, 2, FALSE())</f>
        <v>10</v>
      </c>
      <c r="L175" s="22" t="n">
        <f aca="false">J175+K175+IF(F175&gt;10000, WRuleAmt10k, 0)+IF(AND(F175&gt;=9000, F175&lt;=9999), WRuleStructure, 0)+IF(MOD(F175,1000)=0, WRuleRound, 0)+IF(OR(VALUE(LEFT(D175,2))&lt;7, VALUE(LEFT(D175,2))&gt;21), WRuleAfterHours, 0)+IF(WEEKDAY(C175,2)&gt;5, WRuleWeekend, 0)+IF(I175="Yes", WRulePEP, 0)+IF(COUNTIFS($C$5:$C$204,C175,$E$5:$E$204,E175)&gt;10, WRuleVelocity, 0)</f>
        <v>43</v>
      </c>
      <c r="M175" s="23" t="str">
        <f aca="false">IF(L175&gt;=SARThreshold,"REVIEW","OK")</f>
        <v>OK</v>
      </c>
    </row>
    <row r="176" customFormat="false" ht="15" hidden="false" customHeight="false" outlineLevel="0" collapsed="false">
      <c r="B176" s="24" t="s">
        <v>371</v>
      </c>
      <c r="C176" s="25" t="n">
        <v>46132</v>
      </c>
      <c r="D176" s="26" t="s">
        <v>324</v>
      </c>
      <c r="E176" s="24" t="s">
        <v>98</v>
      </c>
      <c r="F176" s="27" t="n">
        <v>9851</v>
      </c>
      <c r="G176" s="24" t="s">
        <v>16</v>
      </c>
      <c r="H176" s="24" t="s">
        <v>34</v>
      </c>
      <c r="I176" s="24" t="s">
        <v>79</v>
      </c>
      <c r="J176" s="21" t="n">
        <f aca="false">VLOOKUP(H176, Reference!$B$4:$D$24, 3, FALSE())</f>
        <v>30</v>
      </c>
      <c r="K176" s="21" t="n">
        <f aca="false">VLOOKUP(G176, Reference!$F$4:$G$11, 2, FALSE())</f>
        <v>15</v>
      </c>
      <c r="L176" s="22" t="n">
        <f aca="false">J176+K176+IF(F176&gt;10000, WRuleAmt10k, 0)+IF(AND(F176&gt;=9000, F176&lt;=9999), WRuleStructure, 0)+IF(MOD(F176,1000)=0, WRuleRound, 0)+IF(OR(VALUE(LEFT(D176,2))&lt;7, VALUE(LEFT(D176,2))&gt;21), WRuleAfterHours, 0)+IF(WEEKDAY(C176,2)&gt;5, WRuleWeekend, 0)+IF(I176="Yes", WRulePEP, 0)+IF(COUNTIFS($C$5:$C$204,C176,$E$5:$E$204,E176)&gt;10, WRuleVelocity, 0)</f>
        <v>110</v>
      </c>
      <c r="M176" s="23" t="str">
        <f aca="false">IF(L176&gt;=SARThreshold,"REVIEW","OK")</f>
        <v>REVIEW</v>
      </c>
    </row>
    <row r="177" customFormat="false" ht="15" hidden="false" customHeight="false" outlineLevel="0" collapsed="false">
      <c r="B177" s="17" t="s">
        <v>372</v>
      </c>
      <c r="C177" s="18" t="n">
        <v>46124</v>
      </c>
      <c r="D177" s="19" t="s">
        <v>181</v>
      </c>
      <c r="E177" s="17" t="s">
        <v>128</v>
      </c>
      <c r="F177" s="20" t="n">
        <v>7455</v>
      </c>
      <c r="G177" s="17" t="s">
        <v>18</v>
      </c>
      <c r="H177" s="17" t="s">
        <v>38</v>
      </c>
      <c r="I177" s="17" t="s">
        <v>67</v>
      </c>
      <c r="J177" s="21" t="n">
        <f aca="false">VLOOKUP(H177, Reference!$B$4:$D$24, 3, FALSE())</f>
        <v>30</v>
      </c>
      <c r="K177" s="21" t="n">
        <f aca="false">VLOOKUP(G177, Reference!$F$4:$G$11, 2, FALSE())</f>
        <v>5</v>
      </c>
      <c r="L177" s="22" t="n">
        <f aca="false">J177+K177+IF(F177&gt;10000, WRuleAmt10k, 0)+IF(AND(F177&gt;=9000, F177&lt;=9999), WRuleStructure, 0)+IF(MOD(F177,1000)=0, WRuleRound, 0)+IF(OR(VALUE(LEFT(D177,2))&lt;7, VALUE(LEFT(D177,2))&gt;21), WRuleAfterHours, 0)+IF(WEEKDAY(C177,2)&gt;5, WRuleWeekend, 0)+IF(I177="Yes", WRulePEP, 0)+IF(COUNTIFS($C$5:$C$204,C177,$E$5:$E$204,E177)&gt;10, WRuleVelocity, 0)</f>
        <v>43</v>
      </c>
      <c r="M177" s="23" t="str">
        <f aca="false">IF(L177&gt;=SARThreshold,"REVIEW","OK")</f>
        <v>OK</v>
      </c>
    </row>
    <row r="178" customFormat="false" ht="15" hidden="false" customHeight="false" outlineLevel="0" collapsed="false">
      <c r="B178" s="24" t="s">
        <v>373</v>
      </c>
      <c r="C178" s="25" t="n">
        <v>46138</v>
      </c>
      <c r="D178" s="26" t="s">
        <v>298</v>
      </c>
      <c r="E178" s="24" t="s">
        <v>182</v>
      </c>
      <c r="F178" s="27" t="n">
        <v>7318</v>
      </c>
      <c r="G178" s="24" t="s">
        <v>26</v>
      </c>
      <c r="H178" s="24" t="s">
        <v>29</v>
      </c>
      <c r="I178" s="24" t="s">
        <v>67</v>
      </c>
      <c r="J178" s="21" t="n">
        <f aca="false">VLOOKUP(H178, Reference!$B$4:$D$24, 3, FALSE())</f>
        <v>15</v>
      </c>
      <c r="K178" s="21" t="n">
        <f aca="false">VLOOKUP(G178, Reference!$F$4:$G$11, 2, FALSE())</f>
        <v>20</v>
      </c>
      <c r="L178" s="22" t="n">
        <f aca="false">J178+K178+IF(F178&gt;10000, WRuleAmt10k, 0)+IF(AND(F178&gt;=9000, F178&lt;=9999), WRuleStructure, 0)+IF(MOD(F178,1000)=0, WRuleRound, 0)+IF(OR(VALUE(LEFT(D178,2))&lt;7, VALUE(LEFT(D178,2))&gt;21), WRuleAfterHours, 0)+IF(WEEKDAY(C178,2)&gt;5, WRuleWeekend, 0)+IF(I178="Yes", WRulePEP, 0)+IF(COUNTIFS($C$5:$C$204,C178,$E$5:$E$204,E178)&gt;10, WRuleVelocity, 0)</f>
        <v>43</v>
      </c>
      <c r="M178" s="23" t="str">
        <f aca="false">IF(L178&gt;=SARThreshold,"REVIEW","OK")</f>
        <v>OK</v>
      </c>
    </row>
    <row r="179" customFormat="false" ht="15" hidden="false" customHeight="false" outlineLevel="0" collapsed="false">
      <c r="B179" s="17" t="s">
        <v>374</v>
      </c>
      <c r="C179" s="18" t="n">
        <v>46129</v>
      </c>
      <c r="D179" s="19" t="s">
        <v>109</v>
      </c>
      <c r="E179" s="17" t="s">
        <v>114</v>
      </c>
      <c r="F179" s="20" t="n">
        <v>9619</v>
      </c>
      <c r="G179" s="17" t="s">
        <v>16</v>
      </c>
      <c r="H179" s="17" t="s">
        <v>27</v>
      </c>
      <c r="I179" s="17" t="s">
        <v>79</v>
      </c>
      <c r="J179" s="21" t="n">
        <f aca="false">VLOOKUP(H179, Reference!$B$4:$D$24, 3, FALSE())</f>
        <v>15</v>
      </c>
      <c r="K179" s="21" t="n">
        <f aca="false">VLOOKUP(G179, Reference!$F$4:$G$11, 2, FALSE())</f>
        <v>15</v>
      </c>
      <c r="L179" s="22" t="n">
        <f aca="false">J179+K179+IF(F179&gt;10000, WRuleAmt10k, 0)+IF(AND(F179&gt;=9000, F179&lt;=9999), WRuleStructure, 0)+IF(MOD(F179,1000)=0, WRuleRound, 0)+IF(OR(VALUE(LEFT(D179,2))&lt;7, VALUE(LEFT(D179,2))&gt;21), WRuleAfterHours, 0)+IF(WEEKDAY(C179,2)&gt;5, WRuleWeekend, 0)+IF(I179="Yes", WRulePEP, 0)+IF(COUNTIFS($C$5:$C$204,C179,$E$5:$E$204,E179)&gt;10, WRuleVelocity, 0)</f>
        <v>85</v>
      </c>
      <c r="M179" s="23" t="str">
        <f aca="false">IF(L179&gt;=SARThreshold,"REVIEW","OK")</f>
        <v>REVIEW</v>
      </c>
    </row>
    <row r="180" customFormat="false" ht="15" hidden="false" customHeight="false" outlineLevel="0" collapsed="false">
      <c r="B180" s="24" t="s">
        <v>375</v>
      </c>
      <c r="C180" s="25" t="n">
        <v>46128</v>
      </c>
      <c r="D180" s="26" t="s">
        <v>376</v>
      </c>
      <c r="E180" s="24" t="s">
        <v>201</v>
      </c>
      <c r="F180" s="27" t="n">
        <v>2142</v>
      </c>
      <c r="G180" s="24" t="s">
        <v>20</v>
      </c>
      <c r="H180" s="24" t="s">
        <v>15</v>
      </c>
      <c r="I180" s="24" t="s">
        <v>67</v>
      </c>
      <c r="J180" s="21" t="n">
        <f aca="false">VLOOKUP(H180, Reference!$B$4:$D$24, 3, FALSE())</f>
        <v>5</v>
      </c>
      <c r="K180" s="21" t="n">
        <f aca="false">VLOOKUP(G180, Reference!$F$4:$G$11, 2, FALSE())</f>
        <v>5</v>
      </c>
      <c r="L180" s="22" t="n">
        <f aca="false">J180+K180+IF(F180&gt;10000, WRuleAmt10k, 0)+IF(AND(F180&gt;=9000, F180&lt;=9999), WRuleStructure, 0)+IF(MOD(F180,1000)=0, WRuleRound, 0)+IF(OR(VALUE(LEFT(D180,2))&lt;7, VALUE(LEFT(D180,2))&gt;21), WRuleAfterHours, 0)+IF(WEEKDAY(C180,2)&gt;5, WRuleWeekend, 0)+IF(I180="Yes", WRulePEP, 0)+IF(COUNTIFS($C$5:$C$204,C180,$E$5:$E$204,E180)&gt;10, WRuleVelocity, 0)</f>
        <v>10</v>
      </c>
      <c r="M180" s="23" t="str">
        <f aca="false">IF(L180&gt;=SARThreshold,"REVIEW","OK")</f>
        <v>OK</v>
      </c>
    </row>
    <row r="181" customFormat="false" ht="15" hidden="false" customHeight="false" outlineLevel="0" collapsed="false">
      <c r="B181" s="17" t="s">
        <v>377</v>
      </c>
      <c r="C181" s="18" t="n">
        <v>46121</v>
      </c>
      <c r="D181" s="19" t="s">
        <v>378</v>
      </c>
      <c r="E181" s="17" t="s">
        <v>98</v>
      </c>
      <c r="F181" s="20" t="n">
        <v>1602</v>
      </c>
      <c r="G181" s="17" t="s">
        <v>18</v>
      </c>
      <c r="H181" s="17" t="s">
        <v>34</v>
      </c>
      <c r="I181" s="17" t="s">
        <v>67</v>
      </c>
      <c r="J181" s="21" t="n">
        <f aca="false">VLOOKUP(H181, Reference!$B$4:$D$24, 3, FALSE())</f>
        <v>30</v>
      </c>
      <c r="K181" s="21" t="n">
        <f aca="false">VLOOKUP(G181, Reference!$F$4:$G$11, 2, FALSE())</f>
        <v>5</v>
      </c>
      <c r="L181" s="22" t="n">
        <f aca="false">J181+K181+IF(F181&gt;10000, WRuleAmt10k, 0)+IF(AND(F181&gt;=9000, F181&lt;=9999), WRuleStructure, 0)+IF(MOD(F181,1000)=0, WRuleRound, 0)+IF(OR(VALUE(LEFT(D181,2))&lt;7, VALUE(LEFT(D181,2))&gt;21), WRuleAfterHours, 0)+IF(WEEKDAY(C181,2)&gt;5, WRuleWeekend, 0)+IF(I181="Yes", WRulePEP, 0)+IF(COUNTIFS($C$5:$C$204,C181,$E$5:$E$204,E181)&gt;10, WRuleVelocity, 0)</f>
        <v>35</v>
      </c>
      <c r="M181" s="23" t="str">
        <f aca="false">IF(L181&gt;=SARThreshold,"REVIEW","OK")</f>
        <v>OK</v>
      </c>
    </row>
    <row r="182" customFormat="false" ht="15" hidden="false" customHeight="false" outlineLevel="0" collapsed="false">
      <c r="B182" s="24" t="s">
        <v>379</v>
      </c>
      <c r="C182" s="25" t="n">
        <v>46142</v>
      </c>
      <c r="D182" s="26" t="s">
        <v>322</v>
      </c>
      <c r="E182" s="24" t="s">
        <v>85</v>
      </c>
      <c r="F182" s="27" t="n">
        <v>3962</v>
      </c>
      <c r="G182" s="24" t="s">
        <v>24</v>
      </c>
      <c r="H182" s="24" t="s">
        <v>15</v>
      </c>
      <c r="I182" s="24" t="s">
        <v>67</v>
      </c>
      <c r="J182" s="21" t="n">
        <f aca="false">VLOOKUP(H182, Reference!$B$4:$D$24, 3, FALSE())</f>
        <v>5</v>
      </c>
      <c r="K182" s="21" t="n">
        <f aca="false">VLOOKUP(G182, Reference!$F$4:$G$11, 2, FALSE())</f>
        <v>25</v>
      </c>
      <c r="L182" s="22" t="n">
        <f aca="false">J182+K182+IF(F182&gt;10000, WRuleAmt10k, 0)+IF(AND(F182&gt;=9000, F182&lt;=9999), WRuleStructure, 0)+IF(MOD(F182,1000)=0, WRuleRound, 0)+IF(OR(VALUE(LEFT(D182,2))&lt;7, VALUE(LEFT(D182,2))&gt;21), WRuleAfterHours, 0)+IF(WEEKDAY(C182,2)&gt;5, WRuleWeekend, 0)+IF(I182="Yes", WRulePEP, 0)+IF(COUNTIFS($C$5:$C$204,C182,$E$5:$E$204,E182)&gt;10, WRuleVelocity, 0)</f>
        <v>40</v>
      </c>
      <c r="M182" s="23" t="str">
        <f aca="false">IF(L182&gt;=SARThreshold,"REVIEW","OK")</f>
        <v>OK</v>
      </c>
    </row>
    <row r="183" customFormat="false" ht="15" hidden="false" customHeight="false" outlineLevel="0" collapsed="false">
      <c r="B183" s="17" t="s">
        <v>380</v>
      </c>
      <c r="C183" s="18" t="n">
        <v>46113</v>
      </c>
      <c r="D183" s="19" t="s">
        <v>265</v>
      </c>
      <c r="E183" s="17" t="s">
        <v>114</v>
      </c>
      <c r="F183" s="20" t="n">
        <v>5593</v>
      </c>
      <c r="G183" s="17" t="s">
        <v>16</v>
      </c>
      <c r="H183" s="17" t="s">
        <v>19</v>
      </c>
      <c r="I183" s="17" t="s">
        <v>79</v>
      </c>
      <c r="J183" s="21" t="n">
        <f aca="false">VLOOKUP(H183, Reference!$B$4:$D$24, 3, FALSE())</f>
        <v>5</v>
      </c>
      <c r="K183" s="21" t="n">
        <f aca="false">VLOOKUP(G183, Reference!$F$4:$G$11, 2, FALSE())</f>
        <v>15</v>
      </c>
      <c r="L183" s="22" t="n">
        <f aca="false">J183+K183+IF(F183&gt;10000, WRuleAmt10k, 0)+IF(AND(F183&gt;=9000, F183&lt;=9999), WRuleStructure, 0)+IF(MOD(F183,1000)=0, WRuleRound, 0)+IF(OR(VALUE(LEFT(D183,2))&lt;7, VALUE(LEFT(D183,2))&gt;21), WRuleAfterHours, 0)+IF(WEEKDAY(C183,2)&gt;5, WRuleWeekend, 0)+IF(I183="Yes", WRulePEP, 0)+IF(COUNTIFS($C$5:$C$204,C183,$E$5:$E$204,E183)&gt;10, WRuleVelocity, 0)</f>
        <v>45</v>
      </c>
      <c r="M183" s="23" t="str">
        <f aca="false">IF(L183&gt;=SARThreshold,"REVIEW","OK")</f>
        <v>OK</v>
      </c>
    </row>
    <row r="184" customFormat="false" ht="15" hidden="false" customHeight="false" outlineLevel="0" collapsed="false">
      <c r="B184" s="24" t="s">
        <v>381</v>
      </c>
      <c r="C184" s="25" t="n">
        <v>46142</v>
      </c>
      <c r="D184" s="26" t="s">
        <v>298</v>
      </c>
      <c r="E184" s="24" t="s">
        <v>215</v>
      </c>
      <c r="F184" s="27" t="n">
        <v>7449</v>
      </c>
      <c r="G184" s="24" t="s">
        <v>12</v>
      </c>
      <c r="H184" s="24" t="s">
        <v>15</v>
      </c>
      <c r="I184" s="24" t="s">
        <v>79</v>
      </c>
      <c r="J184" s="21" t="n">
        <f aca="false">VLOOKUP(H184, Reference!$B$4:$D$24, 3, FALSE())</f>
        <v>5</v>
      </c>
      <c r="K184" s="21" t="n">
        <f aca="false">VLOOKUP(G184, Reference!$F$4:$G$11, 2, FALSE())</f>
        <v>10</v>
      </c>
      <c r="L184" s="22" t="n">
        <f aca="false">J184+K184+IF(F184&gt;10000, WRuleAmt10k, 0)+IF(AND(F184&gt;=9000, F184&lt;=9999), WRuleStructure, 0)+IF(MOD(F184,1000)=0, WRuleRound, 0)+IF(OR(VALUE(LEFT(D184,2))&lt;7, VALUE(LEFT(D184,2))&gt;21), WRuleAfterHours, 0)+IF(WEEKDAY(C184,2)&gt;5, WRuleWeekend, 0)+IF(I184="Yes", WRulePEP, 0)+IF(COUNTIFS($C$5:$C$204,C184,$E$5:$E$204,E184)&gt;10, WRuleVelocity, 0)</f>
        <v>40</v>
      </c>
      <c r="M184" s="23" t="str">
        <f aca="false">IF(L184&gt;=SARThreshold,"REVIEW","OK")</f>
        <v>OK</v>
      </c>
    </row>
    <row r="185" customFormat="false" ht="15" hidden="false" customHeight="false" outlineLevel="0" collapsed="false">
      <c r="B185" s="17" t="s">
        <v>382</v>
      </c>
      <c r="C185" s="18" t="n">
        <v>46119</v>
      </c>
      <c r="D185" s="19" t="s">
        <v>383</v>
      </c>
      <c r="E185" s="17" t="s">
        <v>107</v>
      </c>
      <c r="F185" s="20" t="n">
        <v>5000</v>
      </c>
      <c r="G185" s="17" t="s">
        <v>18</v>
      </c>
      <c r="H185" s="17" t="s">
        <v>29</v>
      </c>
      <c r="I185" s="17" t="s">
        <v>67</v>
      </c>
      <c r="J185" s="21" t="n">
        <f aca="false">VLOOKUP(H185, Reference!$B$4:$D$24, 3, FALSE())</f>
        <v>15</v>
      </c>
      <c r="K185" s="21" t="n">
        <f aca="false">VLOOKUP(G185, Reference!$F$4:$G$11, 2, FALSE())</f>
        <v>5</v>
      </c>
      <c r="L185" s="22" t="n">
        <f aca="false">J185+K185+IF(F185&gt;10000, WRuleAmt10k, 0)+IF(AND(F185&gt;=9000, F185&lt;=9999), WRuleStructure, 0)+IF(MOD(F185,1000)=0, WRuleRound, 0)+IF(OR(VALUE(LEFT(D185,2))&lt;7, VALUE(LEFT(D185,2))&gt;21), WRuleAfterHours, 0)+IF(WEEKDAY(C185,2)&gt;5, WRuleWeekend, 0)+IF(I185="Yes", WRulePEP, 0)+IF(COUNTIFS($C$5:$C$204,C185,$E$5:$E$204,E185)&gt;10, WRuleVelocity, 0)</f>
        <v>40</v>
      </c>
      <c r="M185" s="23" t="str">
        <f aca="false">IF(L185&gt;=SARThreshold,"REVIEW","OK")</f>
        <v>OK</v>
      </c>
    </row>
    <row r="186" customFormat="false" ht="15" hidden="false" customHeight="false" outlineLevel="0" collapsed="false">
      <c r="B186" s="24" t="s">
        <v>384</v>
      </c>
      <c r="C186" s="25" t="n">
        <v>46120</v>
      </c>
      <c r="D186" s="26" t="s">
        <v>385</v>
      </c>
      <c r="E186" s="24" t="s">
        <v>128</v>
      </c>
      <c r="F186" s="27" t="n">
        <v>50000</v>
      </c>
      <c r="G186" s="24" t="s">
        <v>12</v>
      </c>
      <c r="H186" s="24" t="s">
        <v>42</v>
      </c>
      <c r="I186" s="24" t="s">
        <v>67</v>
      </c>
      <c r="J186" s="21" t="n">
        <f aca="false">VLOOKUP(H186, Reference!$B$4:$D$24, 3, FALSE())</f>
        <v>50</v>
      </c>
      <c r="K186" s="21" t="n">
        <f aca="false">VLOOKUP(G186, Reference!$F$4:$G$11, 2, FALSE())</f>
        <v>10</v>
      </c>
      <c r="L186" s="22" t="n">
        <f aca="false">J186+K186+IF(F186&gt;10000, WRuleAmt10k, 0)+IF(AND(F186&gt;=9000, F186&lt;=9999), WRuleStructure, 0)+IF(MOD(F186,1000)=0, WRuleRound, 0)+IF(OR(VALUE(LEFT(D186,2))&lt;7, VALUE(LEFT(D186,2))&gt;21), WRuleAfterHours, 0)+IF(WEEKDAY(C186,2)&gt;5, WRuleWeekend, 0)+IF(I186="Yes", WRulePEP, 0)+IF(COUNTIFS($C$5:$C$204,C186,$E$5:$E$204,E186)&gt;10, WRuleVelocity, 0)</f>
        <v>95</v>
      </c>
      <c r="M186" s="23" t="str">
        <f aca="false">IF(L186&gt;=SARThreshold,"REVIEW","OK")</f>
        <v>REVIEW</v>
      </c>
    </row>
    <row r="187" customFormat="false" ht="15" hidden="false" customHeight="false" outlineLevel="0" collapsed="false">
      <c r="B187" s="17" t="s">
        <v>386</v>
      </c>
      <c r="C187" s="18" t="n">
        <v>46120</v>
      </c>
      <c r="D187" s="19" t="s">
        <v>387</v>
      </c>
      <c r="E187" s="17" t="s">
        <v>287</v>
      </c>
      <c r="F187" s="20" t="n">
        <v>25000</v>
      </c>
      <c r="G187" s="17" t="s">
        <v>18</v>
      </c>
      <c r="H187" s="17" t="s">
        <v>39</v>
      </c>
      <c r="I187" s="17" t="s">
        <v>67</v>
      </c>
      <c r="J187" s="21" t="n">
        <f aca="false">VLOOKUP(H187, Reference!$B$4:$D$24, 3, FALSE())</f>
        <v>50</v>
      </c>
      <c r="K187" s="21" t="n">
        <f aca="false">VLOOKUP(G187, Reference!$F$4:$G$11, 2, FALSE())</f>
        <v>5</v>
      </c>
      <c r="L187" s="22" t="n">
        <f aca="false">J187+K187+IF(F187&gt;10000, WRuleAmt10k, 0)+IF(AND(F187&gt;=9000, F187&lt;=9999), WRuleStructure, 0)+IF(MOD(F187,1000)=0, WRuleRound, 0)+IF(OR(VALUE(LEFT(D187,2))&lt;7, VALUE(LEFT(D187,2))&gt;21), WRuleAfterHours, 0)+IF(WEEKDAY(C187,2)&gt;5, WRuleWeekend, 0)+IF(I187="Yes", WRulePEP, 0)+IF(COUNTIFS($C$5:$C$204,C187,$E$5:$E$204,E187)&gt;10, WRuleVelocity, 0)</f>
        <v>100</v>
      </c>
      <c r="M187" s="23" t="str">
        <f aca="false">IF(L187&gt;=SARThreshold,"REVIEW","OK")</f>
        <v>REVIEW</v>
      </c>
    </row>
    <row r="188" customFormat="false" ht="15" hidden="false" customHeight="false" outlineLevel="0" collapsed="false">
      <c r="B188" s="24" t="s">
        <v>388</v>
      </c>
      <c r="C188" s="25" t="n">
        <v>46134</v>
      </c>
      <c r="D188" s="26" t="s">
        <v>389</v>
      </c>
      <c r="E188" s="24" t="s">
        <v>182</v>
      </c>
      <c r="F188" s="27" t="n">
        <v>75000</v>
      </c>
      <c r="G188" s="24" t="s">
        <v>12</v>
      </c>
      <c r="H188" s="24" t="s">
        <v>32</v>
      </c>
      <c r="I188" s="24" t="s">
        <v>67</v>
      </c>
      <c r="J188" s="21" t="n">
        <f aca="false">VLOOKUP(H188, Reference!$B$4:$D$24, 3, FALSE())</f>
        <v>15</v>
      </c>
      <c r="K188" s="21" t="n">
        <f aca="false">VLOOKUP(G188, Reference!$F$4:$G$11, 2, FALSE())</f>
        <v>10</v>
      </c>
      <c r="L188" s="22" t="n">
        <f aca="false">J188+K188+IF(F188&gt;10000, WRuleAmt10k, 0)+IF(AND(F188&gt;=9000, F188&lt;=9999), WRuleStructure, 0)+IF(MOD(F188,1000)=0, WRuleRound, 0)+IF(OR(VALUE(LEFT(D188,2))&lt;7, VALUE(LEFT(D188,2))&gt;21), WRuleAfterHours, 0)+IF(WEEKDAY(C188,2)&gt;5, WRuleWeekend, 0)+IF(I188="Yes", WRulePEP, 0)+IF(COUNTIFS($C$5:$C$204,C188,$E$5:$E$204,E188)&gt;10, WRuleVelocity, 0)</f>
        <v>60</v>
      </c>
      <c r="M188" s="23" t="str">
        <f aca="false">IF(L188&gt;=SARThreshold,"REVIEW","OK")</f>
        <v>REVIEW</v>
      </c>
    </row>
    <row r="189" customFormat="false" ht="15" hidden="false" customHeight="false" outlineLevel="0" collapsed="false">
      <c r="B189" s="17" t="s">
        <v>390</v>
      </c>
      <c r="C189" s="18" t="n">
        <v>46114</v>
      </c>
      <c r="D189" s="19" t="s">
        <v>81</v>
      </c>
      <c r="E189" s="17" t="s">
        <v>95</v>
      </c>
      <c r="F189" s="20" t="n">
        <v>5950</v>
      </c>
      <c r="G189" s="17" t="s">
        <v>14</v>
      </c>
      <c r="H189" s="17" t="s">
        <v>31</v>
      </c>
      <c r="I189" s="17" t="s">
        <v>67</v>
      </c>
      <c r="J189" s="21" t="n">
        <f aca="false">VLOOKUP(H189, Reference!$B$4:$D$24, 3, FALSE())</f>
        <v>15</v>
      </c>
      <c r="K189" s="21" t="n">
        <f aca="false">VLOOKUP(G189, Reference!$F$4:$G$11, 2, FALSE())</f>
        <v>15</v>
      </c>
      <c r="L189" s="22" t="n">
        <f aca="false">J189+K189+IF(F189&gt;10000, WRuleAmt10k, 0)+IF(AND(F189&gt;=9000, F189&lt;=9999), WRuleStructure, 0)+IF(MOD(F189,1000)=0, WRuleRound, 0)+IF(OR(VALUE(LEFT(D189,2))&lt;7, VALUE(LEFT(D189,2))&gt;21), WRuleAfterHours, 0)+IF(WEEKDAY(C189,2)&gt;5, WRuleWeekend, 0)+IF(I189="Yes", WRulePEP, 0)+IF(COUNTIFS($C$5:$C$204,C189,$E$5:$E$204,E189)&gt;10, WRuleVelocity, 0)</f>
        <v>30</v>
      </c>
      <c r="M189" s="23" t="str">
        <f aca="false">IF(L189&gt;=SARThreshold,"REVIEW","OK")</f>
        <v>OK</v>
      </c>
    </row>
    <row r="190" customFormat="false" ht="15" hidden="false" customHeight="false" outlineLevel="0" collapsed="false">
      <c r="B190" s="24" t="s">
        <v>391</v>
      </c>
      <c r="C190" s="25" t="n">
        <v>46134</v>
      </c>
      <c r="D190" s="26" t="s">
        <v>392</v>
      </c>
      <c r="E190" s="24" t="s">
        <v>283</v>
      </c>
      <c r="F190" s="27" t="n">
        <v>2285</v>
      </c>
      <c r="G190" s="24" t="s">
        <v>12</v>
      </c>
      <c r="H190" s="24" t="s">
        <v>31</v>
      </c>
      <c r="I190" s="24" t="s">
        <v>67</v>
      </c>
      <c r="J190" s="21" t="n">
        <f aca="false">VLOOKUP(H190, Reference!$B$4:$D$24, 3, FALSE())</f>
        <v>15</v>
      </c>
      <c r="K190" s="21" t="n">
        <f aca="false">VLOOKUP(G190, Reference!$F$4:$G$11, 2, FALSE())</f>
        <v>10</v>
      </c>
      <c r="L190" s="22" t="n">
        <f aca="false">J190+K190+IF(F190&gt;10000, WRuleAmt10k, 0)+IF(AND(F190&gt;=9000, F190&lt;=9999), WRuleStructure, 0)+IF(MOD(F190,1000)=0, WRuleRound, 0)+IF(OR(VALUE(LEFT(D190,2))&lt;7, VALUE(LEFT(D190,2))&gt;21), WRuleAfterHours, 0)+IF(WEEKDAY(C190,2)&gt;5, WRuleWeekend, 0)+IF(I190="Yes", WRulePEP, 0)+IF(COUNTIFS($C$5:$C$204,C190,$E$5:$E$204,E190)&gt;10, WRuleVelocity, 0)</f>
        <v>25</v>
      </c>
      <c r="M190" s="23" t="str">
        <f aca="false">IF(L190&gt;=SARThreshold,"REVIEW","OK")</f>
        <v>OK</v>
      </c>
    </row>
    <row r="191" customFormat="false" ht="15" hidden="false" customHeight="false" outlineLevel="0" collapsed="false">
      <c r="B191" s="17" t="s">
        <v>393</v>
      </c>
      <c r="C191" s="18" t="n">
        <v>46139</v>
      </c>
      <c r="D191" s="19" t="s">
        <v>119</v>
      </c>
      <c r="E191" s="17" t="s">
        <v>201</v>
      </c>
      <c r="F191" s="20" t="n">
        <v>3086</v>
      </c>
      <c r="G191" s="17" t="s">
        <v>16</v>
      </c>
      <c r="H191" s="17" t="s">
        <v>15</v>
      </c>
      <c r="I191" s="17" t="s">
        <v>67</v>
      </c>
      <c r="J191" s="21" t="n">
        <f aca="false">VLOOKUP(H191, Reference!$B$4:$D$24, 3, FALSE())</f>
        <v>5</v>
      </c>
      <c r="K191" s="21" t="n">
        <f aca="false">VLOOKUP(G191, Reference!$F$4:$G$11, 2, FALSE())</f>
        <v>15</v>
      </c>
      <c r="L191" s="22" t="n">
        <f aca="false">J191+K191+IF(F191&gt;10000, WRuleAmt10k, 0)+IF(AND(F191&gt;=9000, F191&lt;=9999), WRuleStructure, 0)+IF(MOD(F191,1000)=0, WRuleRound, 0)+IF(OR(VALUE(LEFT(D191,2))&lt;7, VALUE(LEFT(D191,2))&gt;21), WRuleAfterHours, 0)+IF(WEEKDAY(C191,2)&gt;5, WRuleWeekend, 0)+IF(I191="Yes", WRulePEP, 0)+IF(COUNTIFS($C$5:$C$204,C191,$E$5:$E$204,E191)&gt;10, WRuleVelocity, 0)</f>
        <v>20</v>
      </c>
      <c r="M191" s="23" t="str">
        <f aca="false">IF(L191&gt;=SARThreshold,"REVIEW","OK")</f>
        <v>OK</v>
      </c>
    </row>
    <row r="192" customFormat="false" ht="15" hidden="false" customHeight="false" outlineLevel="0" collapsed="false">
      <c r="B192" s="24" t="s">
        <v>394</v>
      </c>
      <c r="C192" s="25" t="n">
        <v>46127</v>
      </c>
      <c r="D192" s="26" t="s">
        <v>246</v>
      </c>
      <c r="E192" s="24" t="s">
        <v>142</v>
      </c>
      <c r="F192" s="27" t="n">
        <v>786</v>
      </c>
      <c r="G192" s="24" t="s">
        <v>22</v>
      </c>
      <c r="H192" s="24" t="s">
        <v>29</v>
      </c>
      <c r="I192" s="24" t="s">
        <v>67</v>
      </c>
      <c r="J192" s="21" t="n">
        <f aca="false">VLOOKUP(H192, Reference!$B$4:$D$24, 3, FALSE())</f>
        <v>15</v>
      </c>
      <c r="K192" s="21" t="n">
        <f aca="false">VLOOKUP(G192, Reference!$F$4:$G$11, 2, FALSE())</f>
        <v>20</v>
      </c>
      <c r="L192" s="22" t="n">
        <f aca="false">J192+K192+IF(F192&gt;10000, WRuleAmt10k, 0)+IF(AND(F192&gt;=9000, F192&lt;=9999), WRuleStructure, 0)+IF(MOD(F192,1000)=0, WRuleRound, 0)+IF(OR(VALUE(LEFT(D192,2))&lt;7, VALUE(LEFT(D192,2))&gt;21), WRuleAfterHours, 0)+IF(WEEKDAY(C192,2)&gt;5, WRuleWeekend, 0)+IF(I192="Yes", WRulePEP, 0)+IF(COUNTIFS($C$5:$C$204,C192,$E$5:$E$204,E192)&gt;10, WRuleVelocity, 0)</f>
        <v>45</v>
      </c>
      <c r="M192" s="23" t="str">
        <f aca="false">IF(L192&gt;=SARThreshold,"REVIEW","OK")</f>
        <v>OK</v>
      </c>
    </row>
    <row r="193" customFormat="false" ht="15" hidden="false" customHeight="false" outlineLevel="0" collapsed="false">
      <c r="B193" s="17" t="s">
        <v>395</v>
      </c>
      <c r="C193" s="18" t="n">
        <v>46139</v>
      </c>
      <c r="D193" s="19" t="s">
        <v>241</v>
      </c>
      <c r="E193" s="17" t="s">
        <v>142</v>
      </c>
      <c r="F193" s="20" t="n">
        <v>3231</v>
      </c>
      <c r="G193" s="17" t="s">
        <v>20</v>
      </c>
      <c r="H193" s="17" t="s">
        <v>31</v>
      </c>
      <c r="I193" s="17" t="s">
        <v>67</v>
      </c>
      <c r="J193" s="21" t="n">
        <f aca="false">VLOOKUP(H193, Reference!$B$4:$D$24, 3, FALSE())</f>
        <v>15</v>
      </c>
      <c r="K193" s="21" t="n">
        <f aca="false">VLOOKUP(G193, Reference!$F$4:$G$11, 2, FALSE())</f>
        <v>5</v>
      </c>
      <c r="L193" s="22" t="n">
        <f aca="false">J193+K193+IF(F193&gt;10000, WRuleAmt10k, 0)+IF(AND(F193&gt;=9000, F193&lt;=9999), WRuleStructure, 0)+IF(MOD(F193,1000)=0, WRuleRound, 0)+IF(OR(VALUE(LEFT(D193,2))&lt;7, VALUE(LEFT(D193,2))&gt;21), WRuleAfterHours, 0)+IF(WEEKDAY(C193,2)&gt;5, WRuleWeekend, 0)+IF(I193="Yes", WRulePEP, 0)+IF(COUNTIFS($C$5:$C$204,C193,$E$5:$E$204,E193)&gt;10, WRuleVelocity, 0)</f>
        <v>20</v>
      </c>
      <c r="M193" s="23" t="str">
        <f aca="false">IF(L193&gt;=SARThreshold,"REVIEW","OK")</f>
        <v>OK</v>
      </c>
    </row>
    <row r="194" customFormat="false" ht="15" hidden="false" customHeight="false" outlineLevel="0" collapsed="false">
      <c r="B194" s="24" t="s">
        <v>396</v>
      </c>
      <c r="C194" s="25" t="n">
        <v>46114</v>
      </c>
      <c r="D194" s="26" t="s">
        <v>81</v>
      </c>
      <c r="E194" s="24" t="s">
        <v>133</v>
      </c>
      <c r="F194" s="27" t="n">
        <v>7259</v>
      </c>
      <c r="G194" s="24" t="s">
        <v>24</v>
      </c>
      <c r="H194" s="24" t="s">
        <v>34</v>
      </c>
      <c r="I194" s="24" t="s">
        <v>67</v>
      </c>
      <c r="J194" s="21" t="n">
        <f aca="false">VLOOKUP(H194, Reference!$B$4:$D$24, 3, FALSE())</f>
        <v>30</v>
      </c>
      <c r="K194" s="21" t="n">
        <f aca="false">VLOOKUP(G194, Reference!$F$4:$G$11, 2, FALSE())</f>
        <v>25</v>
      </c>
      <c r="L194" s="22" t="n">
        <f aca="false">J194+K194+IF(F194&gt;10000, WRuleAmt10k, 0)+IF(AND(F194&gt;=9000, F194&lt;=9999), WRuleStructure, 0)+IF(MOD(F194,1000)=0, WRuleRound, 0)+IF(OR(VALUE(LEFT(D194,2))&lt;7, VALUE(LEFT(D194,2))&gt;21), WRuleAfterHours, 0)+IF(WEEKDAY(C194,2)&gt;5, WRuleWeekend, 0)+IF(I194="Yes", WRulePEP, 0)+IF(COUNTIFS($C$5:$C$204,C194,$E$5:$E$204,E194)&gt;10, WRuleVelocity, 0)</f>
        <v>55</v>
      </c>
      <c r="M194" s="23" t="str">
        <f aca="false">IF(L194&gt;=SARThreshold,"REVIEW","OK")</f>
        <v>OK</v>
      </c>
    </row>
    <row r="195" customFormat="false" ht="15" hidden="false" customHeight="false" outlineLevel="0" collapsed="false">
      <c r="B195" s="17" t="s">
        <v>397</v>
      </c>
      <c r="C195" s="18" t="n">
        <v>46125</v>
      </c>
      <c r="D195" s="19" t="s">
        <v>170</v>
      </c>
      <c r="E195" s="17" t="s">
        <v>201</v>
      </c>
      <c r="F195" s="20" t="n">
        <v>8607</v>
      </c>
      <c r="G195" s="17" t="s">
        <v>20</v>
      </c>
      <c r="H195" s="17" t="s">
        <v>15</v>
      </c>
      <c r="I195" s="17" t="s">
        <v>67</v>
      </c>
      <c r="J195" s="21" t="n">
        <f aca="false">VLOOKUP(H195, Reference!$B$4:$D$24, 3, FALSE())</f>
        <v>5</v>
      </c>
      <c r="K195" s="21" t="n">
        <f aca="false">VLOOKUP(G195, Reference!$F$4:$G$11, 2, FALSE())</f>
        <v>5</v>
      </c>
      <c r="L195" s="22" t="n">
        <f aca="false">J195+K195+IF(F195&gt;10000, WRuleAmt10k, 0)+IF(AND(F195&gt;=9000, F195&lt;=9999), WRuleStructure, 0)+IF(MOD(F195,1000)=0, WRuleRound, 0)+IF(OR(VALUE(LEFT(D195,2))&lt;7, VALUE(LEFT(D195,2))&gt;21), WRuleAfterHours, 0)+IF(WEEKDAY(C195,2)&gt;5, WRuleWeekend, 0)+IF(I195="Yes", WRulePEP, 0)+IF(COUNTIFS($C$5:$C$204,C195,$E$5:$E$204,E195)&gt;10, WRuleVelocity, 0)</f>
        <v>10</v>
      </c>
      <c r="M195" s="23" t="str">
        <f aca="false">IF(L195&gt;=SARThreshold,"REVIEW","OK")</f>
        <v>OK</v>
      </c>
    </row>
    <row r="196" customFormat="false" ht="15" hidden="false" customHeight="false" outlineLevel="0" collapsed="false">
      <c r="B196" s="24" t="s">
        <v>398</v>
      </c>
      <c r="C196" s="25" t="n">
        <v>46115</v>
      </c>
      <c r="D196" s="26" t="s">
        <v>399</v>
      </c>
      <c r="E196" s="24" t="s">
        <v>162</v>
      </c>
      <c r="F196" s="27" t="n">
        <v>1000</v>
      </c>
      <c r="G196" s="24" t="s">
        <v>14</v>
      </c>
      <c r="H196" s="24" t="s">
        <v>30</v>
      </c>
      <c r="I196" s="24" t="s">
        <v>67</v>
      </c>
      <c r="J196" s="21" t="n">
        <f aca="false">VLOOKUP(H196, Reference!$B$4:$D$24, 3, FALSE())</f>
        <v>15</v>
      </c>
      <c r="K196" s="21" t="n">
        <f aca="false">VLOOKUP(G196, Reference!$F$4:$G$11, 2, FALSE())</f>
        <v>15</v>
      </c>
      <c r="L196" s="22" t="n">
        <f aca="false">J196+K196+IF(F196&gt;10000, WRuleAmt10k, 0)+IF(AND(F196&gt;=9000, F196&lt;=9999), WRuleStructure, 0)+IF(MOD(F196,1000)=0, WRuleRound, 0)+IF(OR(VALUE(LEFT(D196,2))&lt;7, VALUE(LEFT(D196,2))&gt;21), WRuleAfterHours, 0)+IF(WEEKDAY(C196,2)&gt;5, WRuleWeekend, 0)+IF(I196="Yes", WRulePEP, 0)+IF(COUNTIFS($C$5:$C$204,C196,$E$5:$E$204,E196)&gt;10, WRuleVelocity, 0)</f>
        <v>40</v>
      </c>
      <c r="M196" s="23" t="str">
        <f aca="false">IF(L196&gt;=SARThreshold,"REVIEW","OK")</f>
        <v>OK</v>
      </c>
    </row>
    <row r="197" customFormat="false" ht="15" hidden="false" customHeight="false" outlineLevel="0" collapsed="false">
      <c r="B197" s="17" t="s">
        <v>400</v>
      </c>
      <c r="C197" s="18" t="n">
        <v>46122</v>
      </c>
      <c r="D197" s="19" t="s">
        <v>401</v>
      </c>
      <c r="E197" s="17" t="s">
        <v>252</v>
      </c>
      <c r="F197" s="20" t="n">
        <v>5859</v>
      </c>
      <c r="G197" s="17" t="s">
        <v>26</v>
      </c>
      <c r="H197" s="17" t="s">
        <v>13</v>
      </c>
      <c r="I197" s="17" t="s">
        <v>67</v>
      </c>
      <c r="J197" s="21" t="n">
        <f aca="false">VLOOKUP(H197, Reference!$B$4:$D$24, 3, FALSE())</f>
        <v>5</v>
      </c>
      <c r="K197" s="21" t="n">
        <f aca="false">VLOOKUP(G197, Reference!$F$4:$G$11, 2, FALSE())</f>
        <v>20</v>
      </c>
      <c r="L197" s="22" t="n">
        <f aca="false">J197+K197+IF(F197&gt;10000, WRuleAmt10k, 0)+IF(AND(F197&gt;=9000, F197&lt;=9999), WRuleStructure, 0)+IF(MOD(F197,1000)=0, WRuleRound, 0)+IF(OR(VALUE(LEFT(D197,2))&lt;7, VALUE(LEFT(D197,2))&gt;21), WRuleAfterHours, 0)+IF(WEEKDAY(C197,2)&gt;5, WRuleWeekend, 0)+IF(I197="Yes", WRulePEP, 0)+IF(COUNTIFS($C$5:$C$204,C197,$E$5:$E$204,E197)&gt;10, WRuleVelocity, 0)</f>
        <v>25</v>
      </c>
      <c r="M197" s="23" t="str">
        <f aca="false">IF(L197&gt;=SARThreshold,"REVIEW","OK")</f>
        <v>OK</v>
      </c>
    </row>
    <row r="198" customFormat="false" ht="15" hidden="false" customHeight="false" outlineLevel="0" collapsed="false">
      <c r="B198" s="24" t="s">
        <v>402</v>
      </c>
      <c r="C198" s="25" t="n">
        <v>46142</v>
      </c>
      <c r="D198" s="26" t="s">
        <v>127</v>
      </c>
      <c r="E198" s="24" t="s">
        <v>95</v>
      </c>
      <c r="F198" s="27" t="n">
        <v>1039</v>
      </c>
      <c r="G198" s="24" t="s">
        <v>14</v>
      </c>
      <c r="H198" s="24" t="s">
        <v>42</v>
      </c>
      <c r="I198" s="24" t="s">
        <v>67</v>
      </c>
      <c r="J198" s="21" t="n">
        <f aca="false">VLOOKUP(H198, Reference!$B$4:$D$24, 3, FALSE())</f>
        <v>50</v>
      </c>
      <c r="K198" s="21" t="n">
        <f aca="false">VLOOKUP(G198, Reference!$F$4:$G$11, 2, FALSE())</f>
        <v>15</v>
      </c>
      <c r="L198" s="22" t="n">
        <f aca="false">J198+K198+IF(F198&gt;10000, WRuleAmt10k, 0)+IF(AND(F198&gt;=9000, F198&lt;=9999), WRuleStructure, 0)+IF(MOD(F198,1000)=0, WRuleRound, 0)+IF(OR(VALUE(LEFT(D198,2))&lt;7, VALUE(LEFT(D198,2))&gt;21), WRuleAfterHours, 0)+IF(WEEKDAY(C198,2)&gt;5, WRuleWeekend, 0)+IF(I198="Yes", WRulePEP, 0)+IF(COUNTIFS($C$5:$C$204,C198,$E$5:$E$204,E198)&gt;10, WRuleVelocity, 0)</f>
        <v>65</v>
      </c>
      <c r="M198" s="23" t="str">
        <f aca="false">IF(L198&gt;=SARThreshold,"REVIEW","OK")</f>
        <v>REVIEW</v>
      </c>
    </row>
    <row r="199" customFormat="false" ht="15" hidden="false" customHeight="false" outlineLevel="0" collapsed="false">
      <c r="B199" s="17" t="s">
        <v>403</v>
      </c>
      <c r="C199" s="18" t="n">
        <v>46129</v>
      </c>
      <c r="D199" s="19" t="s">
        <v>304</v>
      </c>
      <c r="E199" s="17" t="s">
        <v>75</v>
      </c>
      <c r="F199" s="20" t="n">
        <v>75000</v>
      </c>
      <c r="G199" s="17" t="s">
        <v>26</v>
      </c>
      <c r="H199" s="17" t="s">
        <v>13</v>
      </c>
      <c r="I199" s="17" t="s">
        <v>67</v>
      </c>
      <c r="J199" s="21" t="n">
        <f aca="false">VLOOKUP(H199, Reference!$B$4:$D$24, 3, FALSE())</f>
        <v>5</v>
      </c>
      <c r="K199" s="21" t="n">
        <f aca="false">VLOOKUP(G199, Reference!$F$4:$G$11, 2, FALSE())</f>
        <v>20</v>
      </c>
      <c r="L199" s="22" t="n">
        <f aca="false">J199+K199+IF(F199&gt;10000, WRuleAmt10k, 0)+IF(AND(F199&gt;=9000, F199&lt;=9999), WRuleStructure, 0)+IF(MOD(F199,1000)=0, WRuleRound, 0)+IF(OR(VALUE(LEFT(D199,2))&lt;7, VALUE(LEFT(D199,2))&gt;21), WRuleAfterHours, 0)+IF(WEEKDAY(C199,2)&gt;5, WRuleWeekend, 0)+IF(I199="Yes", WRulePEP, 0)+IF(COUNTIFS($C$5:$C$204,C199,$E$5:$E$204,E199)&gt;10, WRuleVelocity, 0)</f>
        <v>70</v>
      </c>
      <c r="M199" s="23" t="str">
        <f aca="false">IF(L199&gt;=SARThreshold,"REVIEW","OK")</f>
        <v>REVIEW</v>
      </c>
    </row>
    <row r="200" customFormat="false" ht="15" hidden="false" customHeight="false" outlineLevel="0" collapsed="false">
      <c r="B200" s="24" t="s">
        <v>404</v>
      </c>
      <c r="C200" s="25" t="n">
        <v>46120</v>
      </c>
      <c r="D200" s="26" t="s">
        <v>81</v>
      </c>
      <c r="E200" s="24" t="s">
        <v>85</v>
      </c>
      <c r="F200" s="27" t="n">
        <v>630</v>
      </c>
      <c r="G200" s="24" t="s">
        <v>16</v>
      </c>
      <c r="H200" s="24" t="s">
        <v>34</v>
      </c>
      <c r="I200" s="24" t="s">
        <v>67</v>
      </c>
      <c r="J200" s="21" t="n">
        <f aca="false">VLOOKUP(H200, Reference!$B$4:$D$24, 3, FALSE())</f>
        <v>30</v>
      </c>
      <c r="K200" s="21" t="n">
        <f aca="false">VLOOKUP(G200, Reference!$F$4:$G$11, 2, FALSE())</f>
        <v>15</v>
      </c>
      <c r="L200" s="22" t="n">
        <f aca="false">J200+K200+IF(F200&gt;10000, WRuleAmt10k, 0)+IF(AND(F200&gt;=9000, F200&lt;=9999), WRuleStructure, 0)+IF(MOD(F200,1000)=0, WRuleRound, 0)+IF(OR(VALUE(LEFT(D200,2))&lt;7, VALUE(LEFT(D200,2))&gt;21), WRuleAfterHours, 0)+IF(WEEKDAY(C200,2)&gt;5, WRuleWeekend, 0)+IF(I200="Yes", WRulePEP, 0)+IF(COUNTIFS($C$5:$C$204,C200,$E$5:$E$204,E200)&gt;10, WRuleVelocity, 0)</f>
        <v>45</v>
      </c>
      <c r="M200" s="23" t="str">
        <f aca="false">IF(L200&gt;=SARThreshold,"REVIEW","OK")</f>
        <v>OK</v>
      </c>
    </row>
    <row r="201" customFormat="false" ht="15" hidden="false" customHeight="false" outlineLevel="0" collapsed="false">
      <c r="B201" s="17" t="s">
        <v>405</v>
      </c>
      <c r="C201" s="18" t="n">
        <v>46124</v>
      </c>
      <c r="D201" s="19" t="s">
        <v>205</v>
      </c>
      <c r="E201" s="17" t="s">
        <v>82</v>
      </c>
      <c r="F201" s="20" t="n">
        <v>9375</v>
      </c>
      <c r="G201" s="17" t="s">
        <v>24</v>
      </c>
      <c r="H201" s="17" t="s">
        <v>30</v>
      </c>
      <c r="I201" s="17" t="s">
        <v>67</v>
      </c>
      <c r="J201" s="21" t="n">
        <f aca="false">VLOOKUP(H201, Reference!$B$4:$D$24, 3, FALSE())</f>
        <v>15</v>
      </c>
      <c r="K201" s="21" t="n">
        <f aca="false">VLOOKUP(G201, Reference!$F$4:$G$11, 2, FALSE())</f>
        <v>25</v>
      </c>
      <c r="L201" s="22" t="n">
        <f aca="false">J201+K201+IF(F201&gt;10000, WRuleAmt10k, 0)+IF(AND(F201&gt;=9000, F201&lt;=9999), WRuleStructure, 0)+IF(MOD(F201,1000)=0, WRuleRound, 0)+IF(OR(VALUE(LEFT(D201,2))&lt;7, VALUE(LEFT(D201,2))&gt;21), WRuleAfterHours, 0)+IF(WEEKDAY(C201,2)&gt;5, WRuleWeekend, 0)+IF(I201="Yes", WRulePEP, 0)+IF(COUNTIFS($C$5:$C$204,C201,$E$5:$E$204,E201)&gt;10, WRuleVelocity, 0)</f>
        <v>78</v>
      </c>
      <c r="M201" s="23" t="str">
        <f aca="false">IF(L201&gt;=SARThreshold,"REVIEW","OK")</f>
        <v>REVIEW</v>
      </c>
    </row>
    <row r="202" customFormat="false" ht="15" hidden="false" customHeight="false" outlineLevel="0" collapsed="false">
      <c r="B202" s="24" t="s">
        <v>406</v>
      </c>
      <c r="C202" s="25" t="n">
        <v>46120</v>
      </c>
      <c r="D202" s="26" t="s">
        <v>130</v>
      </c>
      <c r="E202" s="24" t="s">
        <v>136</v>
      </c>
      <c r="F202" s="27" t="n">
        <v>2029</v>
      </c>
      <c r="G202" s="24" t="s">
        <v>20</v>
      </c>
      <c r="H202" s="24" t="s">
        <v>27</v>
      </c>
      <c r="I202" s="24" t="s">
        <v>67</v>
      </c>
      <c r="J202" s="21" t="n">
        <f aca="false">VLOOKUP(H202, Reference!$B$4:$D$24, 3, FALSE())</f>
        <v>15</v>
      </c>
      <c r="K202" s="21" t="n">
        <f aca="false">VLOOKUP(G202, Reference!$F$4:$G$11, 2, FALSE())</f>
        <v>5</v>
      </c>
      <c r="L202" s="22" t="n">
        <f aca="false">J202+K202+IF(F202&gt;10000, WRuleAmt10k, 0)+IF(AND(F202&gt;=9000, F202&lt;=9999), WRuleStructure, 0)+IF(MOD(F202,1000)=0, WRuleRound, 0)+IF(OR(VALUE(LEFT(D202,2))&lt;7, VALUE(LEFT(D202,2))&gt;21), WRuleAfterHours, 0)+IF(WEEKDAY(C202,2)&gt;5, WRuleWeekend, 0)+IF(I202="Yes", WRulePEP, 0)+IF(COUNTIFS($C$5:$C$204,C202,$E$5:$E$204,E202)&gt;10, WRuleVelocity, 0)</f>
        <v>30</v>
      </c>
      <c r="M202" s="23" t="str">
        <f aca="false">IF(L202&gt;=SARThreshold,"REVIEW","OK")</f>
        <v>OK</v>
      </c>
    </row>
    <row r="203" customFormat="false" ht="15" hidden="false" customHeight="false" outlineLevel="0" collapsed="false">
      <c r="B203" s="17" t="s">
        <v>407</v>
      </c>
      <c r="C203" s="18" t="n">
        <v>46119</v>
      </c>
      <c r="D203" s="19" t="s">
        <v>345</v>
      </c>
      <c r="E203" s="17" t="s">
        <v>70</v>
      </c>
      <c r="F203" s="20" t="n">
        <v>9873</v>
      </c>
      <c r="G203" s="17" t="s">
        <v>14</v>
      </c>
      <c r="H203" s="17" t="s">
        <v>34</v>
      </c>
      <c r="I203" s="17" t="s">
        <v>67</v>
      </c>
      <c r="J203" s="21" t="n">
        <f aca="false">VLOOKUP(H203, Reference!$B$4:$D$24, 3, FALSE())</f>
        <v>30</v>
      </c>
      <c r="K203" s="21" t="n">
        <f aca="false">VLOOKUP(G203, Reference!$F$4:$G$11, 2, FALSE())</f>
        <v>15</v>
      </c>
      <c r="L203" s="22" t="n">
        <f aca="false">J203+K203+IF(F203&gt;10000, WRuleAmt10k, 0)+IF(AND(F203&gt;=9000, F203&lt;=9999), WRuleStructure, 0)+IF(MOD(F203,1000)=0, WRuleRound, 0)+IF(OR(VALUE(LEFT(D203,2))&lt;7, VALUE(LEFT(D203,2))&gt;21), WRuleAfterHours, 0)+IF(WEEKDAY(C203,2)&gt;5, WRuleWeekend, 0)+IF(I203="Yes", WRulePEP, 0)+IF(COUNTIFS($C$5:$C$204,C203,$E$5:$E$204,E203)&gt;10, WRuleVelocity, 0)</f>
        <v>75</v>
      </c>
      <c r="M203" s="23" t="str">
        <f aca="false">IF(L203&gt;=SARThreshold,"REVIEW","OK")</f>
        <v>REVIEW</v>
      </c>
    </row>
    <row r="204" customFormat="false" ht="15" hidden="false" customHeight="false" outlineLevel="0" collapsed="false">
      <c r="B204" s="24" t="s">
        <v>408</v>
      </c>
      <c r="C204" s="25" t="n">
        <v>46135</v>
      </c>
      <c r="D204" s="26" t="s">
        <v>106</v>
      </c>
      <c r="E204" s="24" t="s">
        <v>104</v>
      </c>
      <c r="F204" s="27" t="n">
        <v>1000</v>
      </c>
      <c r="G204" s="24" t="s">
        <v>20</v>
      </c>
      <c r="H204" s="24" t="s">
        <v>29</v>
      </c>
      <c r="I204" s="24" t="s">
        <v>67</v>
      </c>
      <c r="J204" s="21" t="n">
        <f aca="false">VLOOKUP(H204, Reference!$B$4:$D$24, 3, FALSE())</f>
        <v>15</v>
      </c>
      <c r="K204" s="21" t="n">
        <f aca="false">VLOOKUP(G204, Reference!$F$4:$G$11, 2, FALSE())</f>
        <v>5</v>
      </c>
      <c r="L204" s="22" t="n">
        <f aca="false">J204+K204+IF(F204&gt;10000, WRuleAmt10k, 0)+IF(AND(F204&gt;=9000, F204&lt;=9999), WRuleStructure, 0)+IF(MOD(F204,1000)=0, WRuleRound, 0)+IF(OR(VALUE(LEFT(D204,2))&lt;7, VALUE(LEFT(D204,2))&gt;21), WRuleAfterHours, 0)+IF(WEEKDAY(C204,2)&gt;5, WRuleWeekend, 0)+IF(I204="Yes", WRulePEP, 0)+IF(COUNTIFS($C$5:$C$204,C204,$E$5:$E$204,E204)&gt;10, WRuleVelocity, 0)</f>
        <v>30</v>
      </c>
      <c r="M204" s="23" t="str">
        <f aca="false">IF(L204&gt;=SARThreshold,"REVIEW","OK")</f>
        <v>OK</v>
      </c>
    </row>
  </sheetData>
  <mergeCells count="1">
    <mergeCell ref="B2:M2"/>
  </mergeCells>
  <conditionalFormatting sqref="L5:L204">
    <cfRule type="colorScale" priority="2">
      <colorScale>
        <cfvo type="num" val="0"/>
        <cfvo type="num" val="40"/>
        <cfvo type="num" val="100"/>
        <color rgb="FF2ECC71"/>
        <color rgb="FFF4D03F"/>
        <color rgb="FFE74C3C"/>
      </colorScale>
    </cfRule>
  </conditionalFormatting>
  <conditionalFormatting sqref="M5:M204">
    <cfRule type="expression" priority="3" aboveAverage="0" equalAverage="0" bottom="0" percent="0" rank="0" text="" dxfId="0">
      <formula>$M5="REVIEW"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2" customFormat="false" ht="22.05" hidden="false" customHeight="false" outlineLevel="0" collapsed="false">
      <c r="B2" s="28" t="s">
        <v>409</v>
      </c>
      <c r="C2" s="28"/>
      <c r="D2" s="28"/>
      <c r="E2" s="28"/>
      <c r="F2" s="28"/>
      <c r="G2" s="28"/>
      <c r="H2" s="28"/>
      <c r="I2" s="28"/>
    </row>
    <row r="4" customFormat="false" ht="15" hidden="false" customHeight="false" outlineLevel="0" collapsed="false">
      <c r="B4" s="29" t="s">
        <v>410</v>
      </c>
      <c r="C4" s="29"/>
      <c r="D4" s="30" t="s">
        <v>411</v>
      </c>
      <c r="E4" s="30"/>
      <c r="F4" s="31" t="s">
        <v>412</v>
      </c>
      <c r="G4" s="31"/>
      <c r="H4" s="32" t="s">
        <v>413</v>
      </c>
      <c r="I4" s="32"/>
    </row>
    <row r="5" customFormat="false" ht="15" hidden="false" customHeight="false" outlineLevel="0" collapsed="false">
      <c r="B5" s="33" t="n">
        <f aca="false">COUNTA(Transactions!B5:B204)</f>
        <v>200</v>
      </c>
      <c r="C5" s="33"/>
      <c r="D5" s="34" t="n">
        <f aca="false">SUM(Transactions!F5:F204)</f>
        <v>1563352</v>
      </c>
      <c r="E5" s="34"/>
      <c r="F5" s="33" t="n">
        <f aca="false">COUNTIF(Transactions!M5:M204,"REVIEW")</f>
        <v>76</v>
      </c>
      <c r="G5" s="33"/>
      <c r="H5" s="34" t="n">
        <f aca="false">SUMIF(Transactions!M5:M204,"REVIEW",Transactions!F5:F204)</f>
        <v>1026672</v>
      </c>
      <c r="I5" s="34"/>
    </row>
    <row r="6" customFormat="false" ht="15" hidden="false" customHeight="false" outlineLevel="0" collapsed="false">
      <c r="B6" s="33"/>
      <c r="C6" s="33"/>
      <c r="D6" s="34"/>
      <c r="E6" s="34"/>
      <c r="F6" s="33"/>
      <c r="G6" s="33"/>
      <c r="H6" s="34"/>
      <c r="I6" s="34"/>
    </row>
    <row r="9" customFormat="false" ht="16.15" hidden="false" customHeight="false" outlineLevel="0" collapsed="false">
      <c r="B9" s="13" t="s">
        <v>414</v>
      </c>
      <c r="C9" s="13"/>
      <c r="D9" s="13"/>
      <c r="E9" s="13"/>
      <c r="G9" s="13" t="s">
        <v>415</v>
      </c>
      <c r="H9" s="13"/>
      <c r="I9" s="13"/>
    </row>
    <row r="10" customFormat="false" ht="15" hidden="false" customHeight="false" outlineLevel="0" collapsed="false">
      <c r="B10" s="6" t="s">
        <v>6</v>
      </c>
      <c r="C10" s="6" t="s">
        <v>416</v>
      </c>
      <c r="D10" s="6" t="s">
        <v>417</v>
      </c>
      <c r="E10" s="6" t="s">
        <v>412</v>
      </c>
      <c r="G10" s="6" t="s">
        <v>418</v>
      </c>
      <c r="H10" s="6" t="s">
        <v>54</v>
      </c>
      <c r="I10" s="6" t="s">
        <v>62</v>
      </c>
    </row>
    <row r="11" customFormat="false" ht="15" hidden="false" customHeight="false" outlineLevel="0" collapsed="false">
      <c r="B11" s="7" t="s">
        <v>11</v>
      </c>
      <c r="C11" s="35" t="n">
        <f aca="false">SUMPRODUCT((VLOOKUP(Transactions!$H$5:$H$204,Reference!$B$4:$C$24,2,FALSE())="Low")*1)</f>
        <v>67</v>
      </c>
      <c r="D11" s="36" t="n">
        <f aca="false">SUMPRODUCT((VLOOKUP(Transactions!$H$5:$H$204,Reference!$B$4:$C$24,2,FALSE())="Low")*Transactions!$F$5:$F$204)</f>
        <v>621819</v>
      </c>
      <c r="E11" s="35" t="n">
        <f aca="false">SUMPRODUCT((VLOOKUP(Transactions!$H$5:$H$204,Reference!$B$4:$C$24,2,FALSE())="Low")*(Transactions!$M$5:$M$204="REVIEW"))</f>
        <v>8</v>
      </c>
      <c r="G11" s="37" t="n">
        <v>1</v>
      </c>
      <c r="H11" s="38" t="str">
        <f aca="false">INDEX(Transactions!$B$5:$B$204, MATCH(LARGE(Transactions!$L$5:$L$204,1), Transactions!$L$5:$L$204, 0))</f>
        <v>TXN-10171</v>
      </c>
      <c r="I11" s="22" t="n">
        <f aca="false">LARGE(Transactions!$L$5:$L$204,1)</f>
        <v>110</v>
      </c>
    </row>
    <row r="12" customFormat="false" ht="15" hidden="false" customHeight="false" outlineLevel="0" collapsed="false">
      <c r="B12" s="7" t="s">
        <v>28</v>
      </c>
      <c r="C12" s="35" t="n">
        <f aca="false">SUMPRODUCT((VLOOKUP(Transactions!$H$5:$H$204,Reference!$B$4:$C$24,2,FALSE())="Medium")*1)</f>
        <v>56</v>
      </c>
      <c r="D12" s="36" t="n">
        <f aca="false">SUMPRODUCT((VLOOKUP(Transactions!$H$5:$H$204,Reference!$B$4:$C$24,2,FALSE())="Medium")*Transactions!$F$5:$F$204)</f>
        <v>412886</v>
      </c>
      <c r="E12" s="35" t="n">
        <f aca="false">SUMPRODUCT((VLOOKUP(Transactions!$H$5:$H$204,Reference!$B$4:$C$24,2,FALSE())="Medium")*(Transactions!$M$5:$M$204="REVIEW"))</f>
        <v>14</v>
      </c>
      <c r="G12" s="37" t="n">
        <v>2</v>
      </c>
      <c r="H12" s="38" t="str">
        <f aca="false">INDEX(Transactions!$B$5:$B$204, MATCH(LARGE(Transactions!$L$5:$L$204,2), Transactions!$L$5:$L$204, 0))</f>
        <v>TXN-10144</v>
      </c>
      <c r="I12" s="22" t="n">
        <f aca="false">LARGE(Transactions!$L$5:$L$204,2)</f>
        <v>108</v>
      </c>
    </row>
    <row r="13" customFormat="false" ht="15" hidden="false" customHeight="false" outlineLevel="0" collapsed="false">
      <c r="B13" s="7" t="s">
        <v>35</v>
      </c>
      <c r="C13" s="35" t="n">
        <f aca="false">SUMPRODUCT((VLOOKUP(Transactions!$H$5:$H$204,Reference!$B$4:$C$24,2,FALSE())="High")*1)</f>
        <v>41</v>
      </c>
      <c r="D13" s="36" t="n">
        <f aca="false">SUMPRODUCT((VLOOKUP(Transactions!$H$5:$H$204,Reference!$B$4:$C$24,2,FALSE())="High")*Transactions!$F$5:$F$204)</f>
        <v>290340</v>
      </c>
      <c r="E13" s="35" t="n">
        <f aca="false">SUMPRODUCT((VLOOKUP(Transactions!$H$5:$H$204,Reference!$B$4:$C$24,2,FALSE())="High")*(Transactions!$M$5:$M$204="REVIEW"))</f>
        <v>21</v>
      </c>
      <c r="G13" s="37" t="n">
        <v>3</v>
      </c>
      <c r="H13" s="38" t="str">
        <f aca="false">INDEX(Transactions!$B$5:$B$204, MATCH(LARGE(Transactions!$L$5:$L$204,3), Transactions!$L$5:$L$204, 0))</f>
        <v>TXN-10112</v>
      </c>
      <c r="I13" s="22" t="n">
        <f aca="false">LARGE(Transactions!$L$5:$L$204,3)</f>
        <v>105</v>
      </c>
    </row>
    <row r="14" customFormat="false" ht="15" hidden="false" customHeight="false" outlineLevel="0" collapsed="false">
      <c r="B14" s="7" t="s">
        <v>40</v>
      </c>
      <c r="C14" s="35" t="n">
        <f aca="false">SUMPRODUCT((VLOOKUP(Transactions!$H$5:$H$204,Reference!$B$4:$C$24,2,FALSE())="Sanctioned")*1)</f>
        <v>36</v>
      </c>
      <c r="D14" s="36" t="n">
        <f aca="false">SUMPRODUCT((VLOOKUP(Transactions!$H$5:$H$204,Reference!$B$4:$C$24,2,FALSE())="Sanctioned")*Transactions!$F$5:$F$204)</f>
        <v>238307</v>
      </c>
      <c r="E14" s="35" t="n">
        <f aca="false">SUMPRODUCT((VLOOKUP(Transactions!$H$5:$H$204,Reference!$B$4:$C$24,2,FALSE())="Sanctioned")*(Transactions!$M$5:$M$204="REVIEW"))</f>
        <v>33</v>
      </c>
      <c r="G14" s="37" t="n">
        <v>4</v>
      </c>
      <c r="H14" s="38" t="str">
        <f aca="false">INDEX(Transactions!$B$5:$B$204, MATCH(LARGE(Transactions!$L$5:$L$204,4), Transactions!$L$5:$L$204, 0))</f>
        <v>TXN-10100</v>
      </c>
      <c r="I14" s="22" t="n">
        <f aca="false">LARGE(Transactions!$L$5:$L$204,4)</f>
        <v>100</v>
      </c>
    </row>
    <row r="15" customFormat="false" ht="15" hidden="false" customHeight="false" outlineLevel="0" collapsed="false">
      <c r="G15" s="37" t="n">
        <v>5</v>
      </c>
      <c r="H15" s="38" t="str">
        <f aca="false">INDEX(Transactions!$B$5:$B$204, MATCH(LARGE(Transactions!$L$5:$L$204,5), Transactions!$L$5:$L$204, 0))</f>
        <v>TXN-10100</v>
      </c>
      <c r="I15" s="22" t="n">
        <f aca="false">LARGE(Transactions!$L$5:$L$204,5)</f>
        <v>100</v>
      </c>
    </row>
    <row r="16" customFormat="false" ht="15" hidden="false" customHeight="false" outlineLevel="0" collapsed="false">
      <c r="G16" s="37" t="n">
        <v>6</v>
      </c>
      <c r="H16" s="38" t="str">
        <f aca="false">INDEX(Transactions!$B$5:$B$204, MATCH(LARGE(Transactions!$L$5:$L$204,6), Transactions!$L$5:$L$204, 0))</f>
        <v>TXN-10100</v>
      </c>
      <c r="I16" s="22" t="n">
        <f aca="false">LARGE(Transactions!$L$5:$L$204,6)</f>
        <v>100</v>
      </c>
    </row>
    <row r="17" customFormat="false" ht="15" hidden="false" customHeight="false" outlineLevel="0" collapsed="false">
      <c r="G17" s="37" t="n">
        <v>7</v>
      </c>
      <c r="H17" s="38" t="str">
        <f aca="false">INDEX(Transactions!$B$5:$B$204, MATCH(LARGE(Transactions!$L$5:$L$204,7), Transactions!$L$5:$L$204, 0))</f>
        <v>TXN-10120</v>
      </c>
      <c r="I17" s="22" t="n">
        <f aca="false">LARGE(Transactions!$L$5:$L$204,7)</f>
        <v>98</v>
      </c>
    </row>
    <row r="18" customFormat="false" ht="15" hidden="false" customHeight="false" outlineLevel="0" collapsed="false">
      <c r="G18" s="37" t="n">
        <v>8</v>
      </c>
      <c r="H18" s="38" t="str">
        <f aca="false">INDEX(Transactions!$B$5:$B$204, MATCH(LARGE(Transactions!$L$5:$L$204,8), Transactions!$L$5:$L$204, 0))</f>
        <v>TXN-10136</v>
      </c>
      <c r="I18" s="22" t="n">
        <f aca="false">LARGE(Transactions!$L$5:$L$204,8)</f>
        <v>95</v>
      </c>
    </row>
    <row r="19" customFormat="false" ht="15" hidden="false" customHeight="false" outlineLevel="0" collapsed="false">
      <c r="G19" s="37" t="n">
        <v>9</v>
      </c>
      <c r="H19" s="38" t="str">
        <f aca="false">INDEX(Transactions!$B$5:$B$204, MATCH(LARGE(Transactions!$L$5:$L$204,9), Transactions!$L$5:$L$204, 0))</f>
        <v>TXN-10136</v>
      </c>
      <c r="I19" s="22" t="n">
        <f aca="false">LARGE(Transactions!$L$5:$L$204,9)</f>
        <v>95</v>
      </c>
    </row>
    <row r="20" customFormat="false" ht="15" hidden="false" customHeight="false" outlineLevel="0" collapsed="false">
      <c r="G20" s="37" t="n">
        <v>10</v>
      </c>
      <c r="H20" s="38" t="str">
        <f aca="false">INDEX(Transactions!$B$5:$B$204, MATCH(LARGE(Transactions!$L$5:$L$204,10), Transactions!$L$5:$L$204, 0))</f>
        <v>TXN-10072</v>
      </c>
      <c r="I20" s="22" t="n">
        <f aca="false">LARGE(Transactions!$L$5:$L$204,10)</f>
        <v>93</v>
      </c>
    </row>
  </sheetData>
  <mergeCells count="11">
    <mergeCell ref="B2:I2"/>
    <mergeCell ref="B4:C4"/>
    <mergeCell ref="D4:E4"/>
    <mergeCell ref="F4:G4"/>
    <mergeCell ref="H4:I4"/>
    <mergeCell ref="B5:C6"/>
    <mergeCell ref="D5:E6"/>
    <mergeCell ref="F5:G6"/>
    <mergeCell ref="H5:I6"/>
    <mergeCell ref="B9:E9"/>
    <mergeCell ref="G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2" customFormat="false" ht="19.7" hidden="false" customHeight="false" outlineLevel="0" collapsed="false">
      <c r="B2" s="39" t="s">
        <v>419</v>
      </c>
    </row>
    <row r="3" customFormat="false" ht="15" hidden="false" customHeight="false" outlineLevel="0" collapsed="false">
      <c r="B3" s="3" t="s">
        <v>420</v>
      </c>
    </row>
    <row r="5" customFormat="false" ht="900" hidden="false" customHeight="true" outlineLevel="0" collapsed="false">
      <c r="B5" s="40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2026-04-25T02:23:20Z</dcterms:created>
  <dc:creator>openpyxl</dc:creator>
  <dc:description/>
  <dc:language>en-US</dc:language>
  <cp:lastModifiedBy/>
  <dcterms:modified xsi:type="dcterms:W3CDTF">2026-04-25T02:23:20Z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