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_Statement" sheetId="3" state="visible" r:id="rId5"/>
    <sheet name="Balance_Sheet" sheetId="4" state="visible" r:id="rId6"/>
    <sheet name="Cash_Flow" sheetId="5" state="visible" r:id="rId7"/>
    <sheet name="Dashboard" sheetId="6" state="visible" r:id="rId8"/>
    <sheet name="VBA_Code" sheetId="7" state="visible" r:id="rId9"/>
  </sheets>
  <definedNames>
    <definedName function="false" hidden="false" name="APFY24" vbProcedure="false">Assumptions!$C$24</definedName>
    <definedName function="false" hidden="false" name="ARFY24" vbProcedure="false">Assumptions!$C$21</definedName>
    <definedName function="false" hidden="false" name="CapExPct" vbProcedure="false">Assumptions!$G$12</definedName>
    <definedName function="false" hidden="false" name="CashFY24" vbProcedure="false">Assumptions!$C$20</definedName>
    <definedName function="false" hidden="false" name="DAPct" vbProcedure="false">Assumptions!$G$13</definedName>
    <definedName function="false" hidden="false" name="DebtFY24" vbProcedure="false">Assumptions!$C$25</definedName>
    <definedName function="false" hidden="false" name="EquityFY24" vbProcedure="false">Assumptions!$C$26</definedName>
    <definedName function="false" hidden="false" name="GrossMargin" vbProcedure="false">Assumptions!$G$9</definedName>
    <definedName function="false" hidden="false" name="IntRateDebt" vbProcedure="false">Assumptions!$G$15</definedName>
    <definedName function="false" hidden="false" name="InvFY24" vbProcedure="false">Assumptions!$C$22</definedName>
    <definedName function="false" hidden="false" name="OpExPct" vbProcedure="false">Assumptions!$G$10</definedName>
    <definedName function="false" hidden="false" name="PPEFY24" vbProcedure="false">Assumptions!$C$23</definedName>
    <definedName function="false" hidden="false" name="RevFY24" vbProcedure="false">Assumptions!$C$19</definedName>
    <definedName function="false" hidden="false" name="RevGrowth" vbProcedure="false">Assumptions!$G$8</definedName>
    <definedName function="false" hidden="false" name="ScnID" vbProcedure="false">Assumptions!$C$4</definedName>
    <definedName function="false" hidden="false" name="TaxRate" vbProcedure="false">Assumptions!$G$11</definedName>
    <definedName function="false" hidden="false" name="WCPct" vbProcedure="false">Assumptions!$G$14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<sst xmlns="http://schemas.openxmlformats.org/spreadsheetml/2006/main" count="97" uniqueCount="78">
  <si>
    <t xml:space="preserve">THREE-STATEMENT FINANCIAL MODEL</t>
  </si>
  <si>
    <t xml:space="preserve">Income Statement · Balance Sheet · Cash Flow · Scenario Engine</t>
  </si>
  <si>
    <t xml:space="preserve">Integrated financial model linking the income statement, balance sheet, and cash flow statement, with a three-scenario driver (Base, Bull, Bear) selected via a CHOOSE-powered switch. Revenue cascades through margin assumptions; working-capital changes flow into cash; the balance sheet ties every year. A VBA macro runs a two-variable sensitivity table on revenue growth × EBITDA margin and writes the result to a dedicated sheet. Demonstrates the end-to-end modeling skillset expected of an FP&amp;A or Financial Analyst role.</t>
  </si>
  <si>
    <t xml:space="preserve">SCENARIO DRIVERS</t>
  </si>
  <si>
    <t xml:space="preserve">Scenario</t>
  </si>
  <si>
    <t xml:space="preserve">Use 1=Base, 2=Bull, 3=Bear</t>
  </si>
  <si>
    <t xml:space="preserve">DRIVER GRID</t>
  </si>
  <si>
    <t xml:space="preserve">Driver</t>
  </si>
  <si>
    <t xml:space="preserve">Base</t>
  </si>
  <si>
    <t xml:space="preserve">Bull</t>
  </si>
  <si>
    <t xml:space="preserve">Bear</t>
  </si>
  <si>
    <t xml:space="preserve">Active (Scenario)</t>
  </si>
  <si>
    <t xml:space="preserve">Revenue Growth</t>
  </si>
  <si>
    <t xml:space="preserve">Gross Margin</t>
  </si>
  <si>
    <t xml:space="preserve">OpEx % of Revenue</t>
  </si>
  <si>
    <t xml:space="preserve">Tax Rate</t>
  </si>
  <si>
    <t xml:space="preserve">CapEx % of Revenue</t>
  </si>
  <si>
    <t xml:space="preserve">D&amp;A % of Revenue</t>
  </si>
  <si>
    <t xml:space="preserve">Working Capital % Rev</t>
  </si>
  <si>
    <t xml:space="preserve">Interest Rate on Debt</t>
  </si>
  <si>
    <t xml:space="preserve">STARTING POSITION (FY2024 Actuals)</t>
  </si>
  <si>
    <t xml:space="preserve">Revenue</t>
  </si>
  <si>
    <t xml:space="preserve">Cash</t>
  </si>
  <si>
    <t xml:space="preserve">Accounts Receivable</t>
  </si>
  <si>
    <t xml:space="preserve">Inventory</t>
  </si>
  <si>
    <t xml:space="preserve">PP&amp;E (net)</t>
  </si>
  <si>
    <t xml:space="preserve">Accounts Payable</t>
  </si>
  <si>
    <t xml:space="preserve">Debt</t>
  </si>
  <si>
    <t xml:space="preserve">Equity</t>
  </si>
  <si>
    <t xml:space="preserve">INCOME STATEMENT ($)</t>
  </si>
  <si>
    <t xml:space="preserve">FY2024</t>
  </si>
  <si>
    <t xml:space="preserve">FY2025</t>
  </si>
  <si>
    <t xml:space="preserve">FY2026</t>
  </si>
  <si>
    <t xml:space="preserve">FY2027</t>
  </si>
  <si>
    <t xml:space="preserve">FY2028</t>
  </si>
  <si>
    <t xml:space="preserve">  COGS</t>
  </si>
  <si>
    <t xml:space="preserve">Gross Profit</t>
  </si>
  <si>
    <t xml:space="preserve">  Operating Expenses</t>
  </si>
  <si>
    <t xml:space="preserve">EBITDA</t>
  </si>
  <si>
    <t xml:space="preserve">  Depreciation &amp; Amortization</t>
  </si>
  <si>
    <t xml:space="preserve">EBIT</t>
  </si>
  <si>
    <t xml:space="preserve">  Interest Expense</t>
  </si>
  <si>
    <t xml:space="preserve">EBT</t>
  </si>
  <si>
    <t xml:space="preserve">  Taxes</t>
  </si>
  <si>
    <t xml:space="preserve">Net Income</t>
  </si>
  <si>
    <t xml:space="preserve">BALANCE SHEET ($)</t>
  </si>
  <si>
    <t xml:space="preserve">ASSETS</t>
  </si>
  <si>
    <t xml:space="preserve">  Cash</t>
  </si>
  <si>
    <t xml:space="preserve">  Accounts Receivable</t>
  </si>
  <si>
    <t xml:space="preserve">  Inventory</t>
  </si>
  <si>
    <t xml:space="preserve">Total Current Assets</t>
  </si>
  <si>
    <t xml:space="preserve">  PP&amp;E (Net)</t>
  </si>
  <si>
    <t xml:space="preserve">Total Assets</t>
  </si>
  <si>
    <t xml:space="preserve">LIABILITIES &amp; EQUITY</t>
  </si>
  <si>
    <t xml:space="preserve">  Accounts Payable</t>
  </si>
  <si>
    <t xml:space="preserve">  Debt</t>
  </si>
  <si>
    <t xml:space="preserve">Total Liabilities</t>
  </si>
  <si>
    <t xml:space="preserve">  Equity</t>
  </si>
  <si>
    <t xml:space="preserve">Total L + E</t>
  </si>
  <si>
    <t xml:space="preserve">Check (A = L+E)</t>
  </si>
  <si>
    <t xml:space="preserve">CASH FLOW STATEMENT ($)</t>
  </si>
  <si>
    <t xml:space="preserve">  + D&amp;A</t>
  </si>
  <si>
    <t xml:space="preserve">  - Increase in AR</t>
  </si>
  <si>
    <t xml:space="preserve">  - Increase in Inventory</t>
  </si>
  <si>
    <t xml:space="preserve">  + Increase in AP</t>
  </si>
  <si>
    <t xml:space="preserve">Cash from Operations</t>
  </si>
  <si>
    <t xml:space="preserve">  - CapEx</t>
  </si>
  <si>
    <t xml:space="preserve">Total Change in Cash</t>
  </si>
  <si>
    <t xml:space="preserve">KPI DASHBOARD</t>
  </si>
  <si>
    <t xml:space="preserve">Revenue Growth %</t>
  </si>
  <si>
    <t xml:space="preserve">EBITDA Margin</t>
  </si>
  <si>
    <t xml:space="preserve">Net Margin</t>
  </si>
  <si>
    <t xml:space="preserve">Current Ratio</t>
  </si>
  <si>
    <t xml:space="preserve">Debt / Equity</t>
  </si>
  <si>
    <t xml:space="preserve">ROE</t>
  </si>
  <si>
    <t xml:space="preserve">VBA MACROS — Scenario Switch &amp; Sensitivity</t>
  </si>
  <si>
    <t xml:space="preserve">Import ScenarioMacros.bas via Alt+F11 → File → Import File.</t>
  </si>
  <si>
    <t xml:space="preserve">Option Explicit
' ============================================================
' ScenarioMacros.bas  —  Kartik Joshi
' Three-statement model: scenario switcher + sensitivity table
' ============================================================
Public Sub SwitchScenario(ByVal scnID As Integer)
    If scnID &lt; 1 Or scnID &gt; 3 Then
        MsgBox "Scenario ID must be 1 (Base), 2 (Bull), or 3 (Bear).", vbExclamation
        Exit Sub
    End If
    ThisWorkbook.Worksheets("Assumptions").Range("ScnID").Value = scnID
    Application.Calculate
End Sub
Public Sub RunBase(): SwitchScenario 1: End Sub
Public Sub RunBull(): SwitchScenario 2: End Sub
Public Sub RunBear(): SwitchScenario 3: End Sub
' Two-variable sensitivity table:
' Rows = Revenue growth (-4% to +20% in 2% steps)
' Cols = Gross margin  (50% to 66% in 2% steps)
' Output = FY2028 EBITDA
Public Sub BuildSensitivityTable()
    Dim ws As Worksheet, asn As Worksheet, origGrowth As Double, origMargin As Double
    Dim i As Integer, j As Integer
    Dim growths As Variant, margins As Variant
    Set asn = ThisWorkbook.Worksheets("Assumptions")
    origGrowth = asn.Range("RevGrowth").Value
    origMargin = asn.Range("GrossMargin").Value
    ' Overwrite the active column directly (col G rows 8 and 9)
    growths = Array(-0.04, -0.02, 0#, 0.02, 0.04, 0.06, 0.08, 0.1, 0.12, 0.14, 0.16, 0.18, 0.2)
    margins = Array(0.5, 0.52, 0.54, 0.56, 0.58, 0.6, 0.62, 0.64, 0.66)
    On Error Resume Next
    Application.DisplayAlerts = False
    ThisWorkbook.Worksheets("Sensitivity").Delete
    Application.DisplayAlerts = True
    On Error GoTo 0
    Set ws = ThisWorkbook.Worksheets.Add(After:= _
        ThisWorkbook.Worksheets(ThisWorkbook.Worksheets.Count))
    ws.Name = "Sensitivity"
    ws.Range("B2").Value = "FY2028 EBITDA — Revenue Growth (rows) vs Gross Margin (cols)"
    ws.Range("B2").Font.Bold = True
    ws.Range("B2").Font.Size = 14
    For j = LBound(margins) To UBound(margins)
        ws.Cells(4, 3 + j).Value = margins(j)
        ws.Cells(4, 3 + j).NumberFormat = "0.0%"
        ws.Cells(4, 3 + j).Font.Bold = True
    Next j
    For i = LBound(growths) To UBound(growths)
        ws.Cells(5 + i, 2).Value = growths(i)
        ws.Cells(5 + i, 2).NumberFormat = "0.0%"
        ws.Cells(5 + i, 2).Font.Bold = True
        For j = LBound(margins) To UBound(margins)
            asn.Range("RevGrowth").Value = growths(i)
            asn.Range("GrossMargin").Value = margins(j)
            Application.Calculate
            ws.Cells(5 + i, 3 + j).Value = _
                ThisWorkbook.Worksheets("Income_Statement").Range("G9").Value
            ws.Cells(5 + i, 3 + j).NumberFormat = "$#,##0"
        Next j
    Next i
    asn.Range("RevGrowth").Value = origGrowth
    asn.Range("GrossMargin").Value = origMargin
    Application.Calculate
    MsgBox "Sensitivity table built. See the Sensitivity sheet.", vbInformation
End Sub
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</si>
</sst>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@"/>
    <numFmt numFmtId="167" formatCode="0.0%"/>
    <numFmt numFmtId="168" formatCode="0.00%"/>
    <numFmt numFmtId="169" formatCode="\$#,##0"/>
    <numFmt numFmtId="170" formatCode="\$#,##0;&quot;($&quot;#,##0\);\-"/>
    <numFmt numFmtId="171" formatCode="\$#,##0;&quot;($&quot;#,##0\);&quot;OK&quot;"/>
    <numFmt numFmtId="172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A49"/>
      <name val="Calibri"/>
      <family val="0"/>
      <charset val="1"/>
    </font>
    <font>
      <i val="true"/>
      <sz val="11"/>
      <color rgb="FF2E86C1"/>
      <name val="Calibri"/>
      <family val="0"/>
      <charset val="1"/>
    </font>
    <font>
      <sz val="11"/>
      <color rgb="FF2C3E50"/>
      <name val="Calibri"/>
      <family val="0"/>
      <charset val="1"/>
    </font>
    <font>
      <b val="true"/>
      <sz val="16"/>
      <color rgb="FF1B2A49"/>
      <name val="Calibri"/>
      <family val="0"/>
      <charset val="1"/>
    </font>
    <font>
      <b val="true"/>
      <sz val="11"/>
      <color rgb="FF1B2A49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10"/>
      <color rgb="FF7F8C8D"/>
      <name val="Calibri"/>
      <family val="0"/>
      <charset val="1"/>
    </font>
    <font>
      <b val="true"/>
      <sz val="13"/>
      <color rgb="FF1B2A4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1B2A4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C0392B"/>
      <name val="Calibri"/>
      <family val="0"/>
      <charset val="1"/>
    </font>
    <font>
      <b val="true"/>
      <sz val="18"/>
      <color rgb="FF1B2A49"/>
      <name val="Calibri"/>
      <family val="0"/>
      <charset val="1"/>
    </font>
    <font>
      <sz val="10"/>
      <color rgb="FF1B2A4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AF2F8"/>
        <bgColor rgb="FFF4F6F7"/>
      </patternFill>
    </fill>
    <fill>
      <patternFill patternType="solid">
        <fgColor rgb="FFFCF3CF"/>
        <bgColor rgb="FFF4F6F7"/>
      </patternFill>
    </fill>
    <fill>
      <patternFill patternType="solid">
        <fgColor rgb="FF1B2A49"/>
        <bgColor rgb="FF2C3E50"/>
      </patternFill>
    </fill>
    <fill>
      <patternFill patternType="solid">
        <fgColor rgb="FFFFFFFF"/>
        <bgColor rgb="FFF4F6F7"/>
      </patternFill>
    </fill>
    <fill>
      <patternFill patternType="solid">
        <fgColor rgb="FFF4F6F7"/>
        <bgColor rgb="FFEAF2F8"/>
      </patternFill>
    </fill>
    <fill>
      <patternFill patternType="solid">
        <fgColor rgb="FFD5F5E3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0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4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CF3CF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2A49"/>
      <rgbColor rgb="FF339966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9" min="2" style="1" width="16"/>
  </cols>
  <sheetData>
    <row r="2" customFormat="false" ht="26.8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  <c r="I11" s="4"/>
    </row>
  </sheetData>
  <mergeCells count="1">
    <mergeCell ref="B5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8" min="3" style="1" width="14"/>
  </cols>
  <sheetData>
    <row r="2" customFormat="false" ht="19.7" hidden="false" customHeight="false" outlineLevel="0" collapsed="false">
      <c r="B2" s="5" t="s">
        <v>3</v>
      </c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B4" s="6" t="s">
        <v>4</v>
      </c>
      <c r="C4" s="7" t="n">
        <v>1</v>
      </c>
      <c r="D4" s="8" t="str">
        <f aca="false">CHOOSE(C4,"Base","Bull","Bear")</f>
        <v>Base</v>
      </c>
      <c r="E4" s="9" t="s">
        <v>5</v>
      </c>
    </row>
    <row r="6" customFormat="false" ht="16.15" hidden="false" customHeight="false" outlineLevel="0" collapsed="false">
      <c r="B6" s="10" t="s">
        <v>6</v>
      </c>
      <c r="C6" s="10"/>
      <c r="D6" s="10"/>
      <c r="E6" s="10"/>
    </row>
    <row r="7" customFormat="false" ht="15" hidden="false" customHeight="false" outlineLevel="0" collapsed="false">
      <c r="B7" s="11" t="s">
        <v>7</v>
      </c>
      <c r="C7" s="11" t="s">
        <v>8</v>
      </c>
      <c r="D7" s="11" t="s">
        <v>9</v>
      </c>
      <c r="E7" s="11" t="s">
        <v>10</v>
      </c>
      <c r="G7" s="11" t="s">
        <v>11</v>
      </c>
    </row>
    <row r="8" customFormat="false" ht="15" hidden="false" customHeight="false" outlineLevel="0" collapsed="false">
      <c r="B8" s="6" t="s">
        <v>12</v>
      </c>
      <c r="C8" s="12" t="n">
        <v>0.08</v>
      </c>
      <c r="D8" s="13" t="n">
        <v>0.15</v>
      </c>
      <c r="E8" s="13" t="n">
        <v>0.02</v>
      </c>
      <c r="G8" s="14" t="n">
        <f aca="false">INDEX(C8:E8, 1, ScnID)</f>
        <v>0.08</v>
      </c>
    </row>
    <row r="9" customFormat="false" ht="15" hidden="false" customHeight="false" outlineLevel="0" collapsed="false">
      <c r="B9" s="6" t="s">
        <v>13</v>
      </c>
      <c r="C9" s="12" t="n">
        <v>0.58</v>
      </c>
      <c r="D9" s="13" t="n">
        <v>0.62</v>
      </c>
      <c r="E9" s="13" t="n">
        <v>0.54</v>
      </c>
      <c r="G9" s="14" t="n">
        <f aca="false">INDEX(C9:E9, 1, ScnID)</f>
        <v>0.58</v>
      </c>
    </row>
    <row r="10" customFormat="false" ht="15" hidden="false" customHeight="false" outlineLevel="0" collapsed="false">
      <c r="B10" s="6" t="s">
        <v>14</v>
      </c>
      <c r="C10" s="12" t="n">
        <v>0.32</v>
      </c>
      <c r="D10" s="13" t="n">
        <v>0.28</v>
      </c>
      <c r="E10" s="13" t="n">
        <v>0.36</v>
      </c>
      <c r="G10" s="14" t="n">
        <f aca="false">INDEX(C10:E10, 1, ScnID)</f>
        <v>0.32</v>
      </c>
    </row>
    <row r="11" customFormat="false" ht="15" hidden="false" customHeight="false" outlineLevel="0" collapsed="false">
      <c r="B11" s="6" t="s">
        <v>15</v>
      </c>
      <c r="C11" s="12" t="n">
        <v>0.25</v>
      </c>
      <c r="D11" s="13" t="n">
        <v>0.25</v>
      </c>
      <c r="E11" s="13" t="n">
        <v>0.25</v>
      </c>
      <c r="G11" s="14" t="n">
        <f aca="false">INDEX(C11:E11, 1, ScnID)</f>
        <v>0.25</v>
      </c>
    </row>
    <row r="12" customFormat="false" ht="15" hidden="false" customHeight="false" outlineLevel="0" collapsed="false">
      <c r="B12" s="6" t="s">
        <v>16</v>
      </c>
      <c r="C12" s="12" t="n">
        <v>0.05</v>
      </c>
      <c r="D12" s="13" t="n">
        <v>0.04</v>
      </c>
      <c r="E12" s="13" t="n">
        <v>0.07</v>
      </c>
      <c r="G12" s="14" t="n">
        <f aca="false">INDEX(C12:E12, 1, ScnID)</f>
        <v>0.05</v>
      </c>
    </row>
    <row r="13" customFormat="false" ht="15" hidden="false" customHeight="false" outlineLevel="0" collapsed="false">
      <c r="B13" s="6" t="s">
        <v>17</v>
      </c>
      <c r="C13" s="12" t="n">
        <v>0.04</v>
      </c>
      <c r="D13" s="13" t="n">
        <v>0.04</v>
      </c>
      <c r="E13" s="13" t="n">
        <v>0.04</v>
      </c>
      <c r="G13" s="14" t="n">
        <f aca="false">INDEX(C13:E13, 1, ScnID)</f>
        <v>0.04</v>
      </c>
    </row>
    <row r="14" customFormat="false" ht="15" hidden="false" customHeight="false" outlineLevel="0" collapsed="false">
      <c r="B14" s="6" t="s">
        <v>18</v>
      </c>
      <c r="C14" s="12" t="n">
        <v>0.12</v>
      </c>
      <c r="D14" s="13" t="n">
        <v>0.1</v>
      </c>
      <c r="E14" s="13" t="n">
        <v>0.15</v>
      </c>
      <c r="G14" s="14" t="n">
        <f aca="false">INDEX(C14:E14, 1, ScnID)</f>
        <v>0.12</v>
      </c>
    </row>
    <row r="15" customFormat="false" ht="15" hidden="false" customHeight="false" outlineLevel="0" collapsed="false">
      <c r="B15" s="6" t="s">
        <v>19</v>
      </c>
      <c r="C15" s="15" t="n">
        <v>0.06</v>
      </c>
      <c r="D15" s="16" t="n">
        <v>0.05</v>
      </c>
      <c r="E15" s="16" t="n">
        <v>0.08</v>
      </c>
      <c r="G15" s="17" t="n">
        <f aca="false">INDEX(C15:E15, 1, ScnID)</f>
        <v>0.06</v>
      </c>
    </row>
    <row r="18" customFormat="false" ht="16.15" hidden="false" customHeight="false" outlineLevel="0" collapsed="false">
      <c r="B18" s="10" t="s">
        <v>20</v>
      </c>
      <c r="C18" s="10"/>
      <c r="D18" s="10"/>
      <c r="E18" s="10"/>
    </row>
    <row r="19" customFormat="false" ht="15" hidden="false" customHeight="false" outlineLevel="0" collapsed="false">
      <c r="B19" s="6" t="s">
        <v>21</v>
      </c>
      <c r="C19" s="18" t="n">
        <v>1200000</v>
      </c>
    </row>
    <row r="20" customFormat="false" ht="15" hidden="false" customHeight="false" outlineLevel="0" collapsed="false">
      <c r="B20" s="6" t="s">
        <v>22</v>
      </c>
      <c r="C20" s="18" t="n">
        <v>180000</v>
      </c>
    </row>
    <row r="21" customFormat="false" ht="15" hidden="false" customHeight="false" outlineLevel="0" collapsed="false">
      <c r="B21" s="6" t="s">
        <v>23</v>
      </c>
      <c r="C21" s="18" t="n">
        <v>130000</v>
      </c>
    </row>
    <row r="22" customFormat="false" ht="15" hidden="false" customHeight="false" outlineLevel="0" collapsed="false">
      <c r="B22" s="6" t="s">
        <v>24</v>
      </c>
      <c r="C22" s="18" t="n">
        <v>95000</v>
      </c>
    </row>
    <row r="23" customFormat="false" ht="15" hidden="false" customHeight="false" outlineLevel="0" collapsed="false">
      <c r="B23" s="6" t="s">
        <v>25</v>
      </c>
      <c r="C23" s="18" t="n">
        <v>650000</v>
      </c>
    </row>
    <row r="24" customFormat="false" ht="15" hidden="false" customHeight="false" outlineLevel="0" collapsed="false">
      <c r="B24" s="6" t="s">
        <v>26</v>
      </c>
      <c r="C24" s="18" t="n">
        <v>85000</v>
      </c>
    </row>
    <row r="25" customFormat="false" ht="15" hidden="false" customHeight="false" outlineLevel="0" collapsed="false">
      <c r="B25" s="6" t="s">
        <v>27</v>
      </c>
      <c r="C25" s="18" t="n">
        <v>450000</v>
      </c>
    </row>
    <row r="26" customFormat="false" ht="15" hidden="false" customHeight="false" outlineLevel="0" collapsed="false">
      <c r="B26" s="6" t="s">
        <v>28</v>
      </c>
      <c r="C26" s="18" t="n">
        <v>520000</v>
      </c>
    </row>
  </sheetData>
  <mergeCells count="3">
    <mergeCell ref="B2:H2"/>
    <mergeCell ref="B6:E6"/>
    <mergeCell ref="B18:E18"/>
  </mergeCells>
  <dataValidations count="1">
    <dataValidation allowBlank="false" errorStyle="stop" operator="between" showDropDown="false" showErrorMessage="false" showInputMessage="false" sqref="C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7" min="3" style="1" width="14"/>
  </cols>
  <sheetData>
    <row r="2" customFormat="false" ht="19.7" hidden="false" customHeight="false" outlineLevel="0" collapsed="false">
      <c r="B2" s="5" t="s">
        <v>29</v>
      </c>
      <c r="C2" s="5"/>
      <c r="D2" s="5"/>
      <c r="E2" s="5"/>
      <c r="F2" s="5"/>
      <c r="G2" s="5"/>
    </row>
    <row r="4" customFormat="false" ht="15" hidden="false" customHeight="false" outlineLevel="0" collapsed="false"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</row>
    <row r="5" customFormat="false" ht="15" hidden="false" customHeight="false" outlineLevel="0" collapsed="false">
      <c r="B5" s="6" t="s">
        <v>21</v>
      </c>
      <c r="C5" s="19" t="n">
        <f aca="false">RevFY24</f>
        <v>1200000</v>
      </c>
      <c r="D5" s="19" t="n">
        <f aca="false">C5*(1+RevGrowth)</f>
        <v>1296000</v>
      </c>
      <c r="E5" s="19" t="n">
        <f aca="false">D5*(1+RevGrowth)</f>
        <v>1399680</v>
      </c>
      <c r="F5" s="19" t="n">
        <f aca="false">E5*(1+RevGrowth)</f>
        <v>1511654.4</v>
      </c>
      <c r="G5" s="19" t="n">
        <f aca="false">F5*(1+RevGrowth)</f>
        <v>1632586.752</v>
      </c>
    </row>
    <row r="6" customFormat="false" ht="15" hidden="false" customHeight="false" outlineLevel="0" collapsed="false">
      <c r="B6" s="20" t="s">
        <v>35</v>
      </c>
      <c r="C6" s="21" t="n">
        <f aca="false">-C5*(1-GrossMargin)</f>
        <v>-504000</v>
      </c>
      <c r="D6" s="21" t="n">
        <f aca="false">-D5*(1-GrossMargin)</f>
        <v>-544320</v>
      </c>
      <c r="E6" s="21" t="n">
        <f aca="false">-E5*(1-GrossMargin)</f>
        <v>-587865.6</v>
      </c>
      <c r="F6" s="21" t="n">
        <f aca="false">-F5*(1-GrossMargin)</f>
        <v>-634894.848</v>
      </c>
      <c r="G6" s="21" t="n">
        <f aca="false">-G5*(1-GrossMargin)</f>
        <v>-685686.43584</v>
      </c>
    </row>
    <row r="7" customFormat="false" ht="15" hidden="false" customHeight="false" outlineLevel="0" collapsed="false">
      <c r="B7" s="6" t="s">
        <v>36</v>
      </c>
      <c r="C7" s="22" t="n">
        <f aca="false">C5+C6</f>
        <v>696000</v>
      </c>
      <c r="D7" s="22" t="n">
        <f aca="false">D5+D6</f>
        <v>751680</v>
      </c>
      <c r="E7" s="22" t="n">
        <f aca="false">E5+E6</f>
        <v>811814.4</v>
      </c>
      <c r="F7" s="22" t="n">
        <f aca="false">F5+F6</f>
        <v>876759.552</v>
      </c>
      <c r="G7" s="22" t="n">
        <f aca="false">G5+G6</f>
        <v>946900.31616</v>
      </c>
    </row>
    <row r="8" customFormat="false" ht="15" hidden="false" customHeight="false" outlineLevel="0" collapsed="false">
      <c r="B8" s="20" t="s">
        <v>37</v>
      </c>
      <c r="C8" s="21" t="n">
        <f aca="false">-C5*OpExPct</f>
        <v>-384000</v>
      </c>
      <c r="D8" s="21" t="n">
        <f aca="false">-D5*OpExPct</f>
        <v>-414720</v>
      </c>
      <c r="E8" s="21" t="n">
        <f aca="false">-E5*OpExPct</f>
        <v>-447897.6</v>
      </c>
      <c r="F8" s="21" t="n">
        <f aca="false">-F5*OpExPct</f>
        <v>-483729.408</v>
      </c>
      <c r="G8" s="21" t="n">
        <f aca="false">-G5*OpExPct</f>
        <v>-522427.76064</v>
      </c>
    </row>
    <row r="9" customFormat="false" ht="15" hidden="false" customHeight="false" outlineLevel="0" collapsed="false">
      <c r="B9" s="6" t="s">
        <v>38</v>
      </c>
      <c r="C9" s="22" t="n">
        <f aca="false">C7+C8</f>
        <v>312000</v>
      </c>
      <c r="D9" s="22" t="n">
        <f aca="false">D7+D8</f>
        <v>336960</v>
      </c>
      <c r="E9" s="22" t="n">
        <f aca="false">E7+E8</f>
        <v>363916.8</v>
      </c>
      <c r="F9" s="22" t="n">
        <f aca="false">F7+F8</f>
        <v>393030.144</v>
      </c>
      <c r="G9" s="22" t="n">
        <f aca="false">G7+G8</f>
        <v>424472.55552</v>
      </c>
    </row>
    <row r="10" customFormat="false" ht="15" hidden="false" customHeight="false" outlineLevel="0" collapsed="false">
      <c r="B10" s="20" t="s">
        <v>39</v>
      </c>
      <c r="C10" s="21" t="n">
        <f aca="false">-C5*DAPct</f>
        <v>-48000</v>
      </c>
      <c r="D10" s="21" t="n">
        <f aca="false">-D5*DAPct</f>
        <v>-51840</v>
      </c>
      <c r="E10" s="21" t="n">
        <f aca="false">-E5*DAPct</f>
        <v>-55987.2</v>
      </c>
      <c r="F10" s="21" t="n">
        <f aca="false">-F5*DAPct</f>
        <v>-60466.176</v>
      </c>
      <c r="G10" s="21" t="n">
        <f aca="false">-G5*DAPct</f>
        <v>-65303.47008</v>
      </c>
    </row>
    <row r="11" customFormat="false" ht="15" hidden="false" customHeight="false" outlineLevel="0" collapsed="false">
      <c r="B11" s="6" t="s">
        <v>40</v>
      </c>
      <c r="C11" s="22" t="n">
        <f aca="false">C9+C10</f>
        <v>264000</v>
      </c>
      <c r="D11" s="22" t="n">
        <f aca="false">D9+D10</f>
        <v>285120</v>
      </c>
      <c r="E11" s="22" t="n">
        <f aca="false">E9+E10</f>
        <v>307929.6</v>
      </c>
      <c r="F11" s="22" t="n">
        <f aca="false">F9+F10</f>
        <v>332563.968</v>
      </c>
      <c r="G11" s="22" t="n">
        <f aca="false">G9+G10</f>
        <v>359169.08544</v>
      </c>
    </row>
    <row r="12" customFormat="false" ht="15" hidden="false" customHeight="false" outlineLevel="0" collapsed="false">
      <c r="B12" s="20" t="s">
        <v>41</v>
      </c>
      <c r="C12" s="21" t="n">
        <f aca="false">-DebtFY24*IntRateDebt</f>
        <v>-27000</v>
      </c>
      <c r="D12" s="21" t="n">
        <f aca="false">-Balance_Sheet!C14*IntRateDebt</f>
        <v>-27000</v>
      </c>
      <c r="E12" s="21" t="n">
        <f aca="false">-Balance_Sheet!D14*IntRateDebt</f>
        <v>-27000</v>
      </c>
      <c r="F12" s="21" t="n">
        <f aca="false">-Balance_Sheet!E14*IntRateDebt</f>
        <v>-27000</v>
      </c>
      <c r="G12" s="21" t="n">
        <f aca="false">-Balance_Sheet!F14*IntRateDebt</f>
        <v>-27000</v>
      </c>
    </row>
    <row r="13" customFormat="false" ht="15" hidden="false" customHeight="false" outlineLevel="0" collapsed="false">
      <c r="B13" s="6" t="s">
        <v>42</v>
      </c>
      <c r="C13" s="19" t="n">
        <f aca="false">C11+C12</f>
        <v>237000</v>
      </c>
      <c r="D13" s="19" t="n">
        <f aca="false">D11+D12</f>
        <v>258120</v>
      </c>
      <c r="E13" s="19" t="n">
        <f aca="false">E11+E12</f>
        <v>280929.6</v>
      </c>
      <c r="F13" s="19" t="n">
        <f aca="false">F11+F12</f>
        <v>305563.968</v>
      </c>
      <c r="G13" s="19" t="n">
        <f aca="false">G11+G12</f>
        <v>332169.08544</v>
      </c>
    </row>
    <row r="14" customFormat="false" ht="15" hidden="false" customHeight="false" outlineLevel="0" collapsed="false">
      <c r="B14" s="20" t="s">
        <v>43</v>
      </c>
      <c r="C14" s="21" t="n">
        <f aca="false">-MAX(0,C13)*TaxRate</f>
        <v>-59250</v>
      </c>
      <c r="D14" s="21" t="n">
        <f aca="false">-MAX(0,D13)*TaxRate</f>
        <v>-64530</v>
      </c>
      <c r="E14" s="21" t="n">
        <f aca="false">-MAX(0,E13)*TaxRate</f>
        <v>-70232.4</v>
      </c>
      <c r="F14" s="21" t="n">
        <f aca="false">-MAX(0,F13)*TaxRate</f>
        <v>-76390.992</v>
      </c>
      <c r="G14" s="21" t="n">
        <f aca="false">-MAX(0,G13)*TaxRate</f>
        <v>-83042.27136</v>
      </c>
    </row>
    <row r="15" customFormat="false" ht="15" hidden="false" customHeight="false" outlineLevel="0" collapsed="false">
      <c r="B15" s="6" t="s">
        <v>44</v>
      </c>
      <c r="C15" s="23" t="n">
        <f aca="false">C13+C14</f>
        <v>177750</v>
      </c>
      <c r="D15" s="23" t="n">
        <f aca="false">D13+D14</f>
        <v>193590</v>
      </c>
      <c r="E15" s="23" t="n">
        <f aca="false">E13+E14</f>
        <v>210697.2</v>
      </c>
      <c r="F15" s="23" t="n">
        <f aca="false">F13+F14</f>
        <v>229172.976</v>
      </c>
      <c r="G15" s="23" t="n">
        <f aca="false">G13+G14</f>
        <v>249126.81408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7" min="3" style="1" width="14"/>
  </cols>
  <sheetData>
    <row r="2" customFormat="false" ht="19.7" hidden="false" customHeight="false" outlineLevel="0" collapsed="false">
      <c r="B2" s="5" t="s">
        <v>45</v>
      </c>
      <c r="C2" s="5"/>
      <c r="D2" s="5"/>
      <c r="E2" s="5"/>
      <c r="F2" s="5"/>
      <c r="G2" s="5"/>
    </row>
    <row r="4" customFormat="false" ht="15" hidden="false" customHeight="false" outlineLevel="0" collapsed="false"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</row>
    <row r="5" customFormat="false" ht="15" hidden="false" customHeight="false" outlineLevel="0" collapsed="false">
      <c r="B5" s="6" t="s">
        <v>46</v>
      </c>
    </row>
    <row r="6" customFormat="false" ht="15" hidden="false" customHeight="false" outlineLevel="0" collapsed="false">
      <c r="B6" s="20" t="s">
        <v>47</v>
      </c>
      <c r="C6" s="21" t="n">
        <f aca="false">CashFY24</f>
        <v>180000</v>
      </c>
      <c r="D6" s="21" t="n">
        <f aca="false">C6+Cash_Flow!D12</f>
        <v>345110</v>
      </c>
      <c r="E6" s="21" t="n">
        <f aca="false">D6+Cash_Flow!E12</f>
        <v>529368.8</v>
      </c>
      <c r="F6" s="21" t="n">
        <f aca="false">E6+Cash_Flow!F12</f>
        <v>729988.304</v>
      </c>
      <c r="G6" s="21" t="n">
        <f aca="false">F6+Cash_Flow!G12</f>
        <v>948277.36832</v>
      </c>
    </row>
    <row r="7" customFormat="false" ht="15" hidden="false" customHeight="false" outlineLevel="0" collapsed="false">
      <c r="B7" s="20" t="s">
        <v>48</v>
      </c>
      <c r="C7" s="21" t="n">
        <f aca="false">ARFY24</f>
        <v>130000</v>
      </c>
      <c r="D7" s="21" t="n">
        <f aca="false">Income_Statement!D5*0.11</f>
        <v>142560</v>
      </c>
      <c r="E7" s="21" t="n">
        <f aca="false">Income_Statement!E5*0.11</f>
        <v>153964.8</v>
      </c>
      <c r="F7" s="21" t="n">
        <f aca="false">Income_Statement!F5*0.11</f>
        <v>166281.984</v>
      </c>
      <c r="G7" s="21" t="n">
        <f aca="false">Income_Statement!G5*0.11</f>
        <v>179584.54272</v>
      </c>
    </row>
    <row r="8" customFormat="false" ht="15" hidden="false" customHeight="false" outlineLevel="0" collapsed="false">
      <c r="B8" s="20" t="s">
        <v>49</v>
      </c>
      <c r="C8" s="21" t="n">
        <f aca="false">InvFY24</f>
        <v>95000</v>
      </c>
      <c r="D8" s="21" t="n">
        <f aca="false">Income_Statement!D5*0.08</f>
        <v>103680</v>
      </c>
      <c r="E8" s="21" t="n">
        <f aca="false">Income_Statement!E5*0.08</f>
        <v>111974.4</v>
      </c>
      <c r="F8" s="21" t="n">
        <f aca="false">Income_Statement!F5*0.08</f>
        <v>120932.352</v>
      </c>
      <c r="G8" s="21" t="n">
        <f aca="false">Income_Statement!G5*0.08</f>
        <v>130606.94016</v>
      </c>
    </row>
    <row r="9" customFormat="false" ht="15" hidden="false" customHeight="false" outlineLevel="0" collapsed="false">
      <c r="B9" s="24" t="s">
        <v>50</v>
      </c>
      <c r="C9" s="22" t="n">
        <f aca="false">SUM(C6:C8)</f>
        <v>405000</v>
      </c>
      <c r="D9" s="22" t="n">
        <f aca="false">SUM(D6:D8)</f>
        <v>591350</v>
      </c>
      <c r="E9" s="22" t="n">
        <f aca="false">SUM(E6:E8)</f>
        <v>795308</v>
      </c>
      <c r="F9" s="22" t="n">
        <f aca="false">SUM(F6:F8)</f>
        <v>1017202.64</v>
      </c>
      <c r="G9" s="22" t="n">
        <f aca="false">SUM(G6:G8)</f>
        <v>1258468.8512</v>
      </c>
    </row>
    <row r="10" customFormat="false" ht="15" hidden="false" customHeight="false" outlineLevel="0" collapsed="false">
      <c r="B10" s="20" t="s">
        <v>51</v>
      </c>
      <c r="C10" s="21" t="n">
        <f aca="false">PPEFY24</f>
        <v>650000</v>
      </c>
      <c r="D10" s="21" t="n">
        <f aca="false">C10+Income_Statement!D5*CapExPct+Income_Statement!D10</f>
        <v>662960</v>
      </c>
      <c r="E10" s="21" t="n">
        <f aca="false">D10+Income_Statement!E5*CapExPct+Income_Statement!E10</f>
        <v>676956.8</v>
      </c>
      <c r="F10" s="21" t="n">
        <f aca="false">E10+Income_Statement!F5*CapExPct+Income_Statement!F10</f>
        <v>692073.344</v>
      </c>
      <c r="G10" s="21" t="n">
        <f aca="false">F10+Income_Statement!G5*CapExPct+Income_Statement!G10</f>
        <v>708399.21152</v>
      </c>
    </row>
    <row r="11" customFormat="false" ht="15" hidden="false" customHeight="false" outlineLevel="0" collapsed="false">
      <c r="B11" s="6" t="s">
        <v>52</v>
      </c>
      <c r="C11" s="23" t="n">
        <f aca="false">C9+C10</f>
        <v>1055000</v>
      </c>
      <c r="D11" s="23" t="n">
        <f aca="false">D9+D10</f>
        <v>1254310</v>
      </c>
      <c r="E11" s="23" t="n">
        <f aca="false">E9+E10</f>
        <v>1472264.8</v>
      </c>
      <c r="F11" s="23" t="n">
        <f aca="false">F9+F10</f>
        <v>1709275.984</v>
      </c>
      <c r="G11" s="23" t="n">
        <f aca="false">G9+G10</f>
        <v>1966868.06272</v>
      </c>
    </row>
    <row r="12" customFormat="false" ht="15" hidden="false" customHeight="false" outlineLevel="0" collapsed="false">
      <c r="B12" s="6" t="s">
        <v>53</v>
      </c>
    </row>
    <row r="13" customFormat="false" ht="15" hidden="false" customHeight="false" outlineLevel="0" collapsed="false">
      <c r="B13" s="20" t="s">
        <v>54</v>
      </c>
      <c r="C13" s="21" t="n">
        <f aca="false">APFY24</f>
        <v>85000</v>
      </c>
      <c r="D13" s="21" t="n">
        <f aca="false">Income_Statement!D5*0.07</f>
        <v>90720</v>
      </c>
      <c r="E13" s="21" t="n">
        <f aca="false">Income_Statement!E5*0.07</f>
        <v>97977.6</v>
      </c>
      <c r="F13" s="21" t="n">
        <f aca="false">Income_Statement!F5*0.07</f>
        <v>105815.808</v>
      </c>
      <c r="G13" s="21" t="n">
        <f aca="false">Income_Statement!G5*0.07</f>
        <v>114281.07264</v>
      </c>
    </row>
    <row r="14" customFormat="false" ht="15" hidden="false" customHeight="false" outlineLevel="0" collapsed="false">
      <c r="B14" s="20" t="s">
        <v>55</v>
      </c>
      <c r="C14" s="21" t="n">
        <f aca="false">DebtFY24</f>
        <v>450000</v>
      </c>
      <c r="D14" s="21" t="n">
        <f aca="false">C14</f>
        <v>450000</v>
      </c>
      <c r="E14" s="21" t="n">
        <f aca="false">D14</f>
        <v>450000</v>
      </c>
      <c r="F14" s="21" t="n">
        <f aca="false">E14</f>
        <v>450000</v>
      </c>
      <c r="G14" s="21" t="n">
        <f aca="false">F14</f>
        <v>450000</v>
      </c>
    </row>
    <row r="15" customFormat="false" ht="15" hidden="false" customHeight="false" outlineLevel="0" collapsed="false">
      <c r="B15" s="24" t="s">
        <v>56</v>
      </c>
      <c r="C15" s="22" t="n">
        <f aca="false">C13+C14</f>
        <v>535000</v>
      </c>
      <c r="D15" s="22" t="n">
        <f aca="false">D13+D14</f>
        <v>540720</v>
      </c>
      <c r="E15" s="22" t="n">
        <f aca="false">E13+E14</f>
        <v>547977.6</v>
      </c>
      <c r="F15" s="22" t="n">
        <f aca="false">F13+F14</f>
        <v>555815.808</v>
      </c>
      <c r="G15" s="22" t="n">
        <f aca="false">G13+G14</f>
        <v>564281.07264</v>
      </c>
    </row>
    <row r="16" customFormat="false" ht="15" hidden="false" customHeight="false" outlineLevel="0" collapsed="false">
      <c r="B16" s="20" t="s">
        <v>57</v>
      </c>
      <c r="C16" s="21" t="n">
        <f aca="false">EquityFY24</f>
        <v>520000</v>
      </c>
      <c r="D16" s="21" t="n">
        <f aca="false">C16+Income_Statement!D15</f>
        <v>713590</v>
      </c>
      <c r="E16" s="21" t="n">
        <f aca="false">D16+Income_Statement!E15</f>
        <v>924287.2</v>
      </c>
      <c r="F16" s="21" t="n">
        <f aca="false">E16+Income_Statement!F15</f>
        <v>1153460.176</v>
      </c>
      <c r="G16" s="21" t="n">
        <f aca="false">F16+Income_Statement!G15</f>
        <v>1402586.99008</v>
      </c>
    </row>
    <row r="17" customFormat="false" ht="15" hidden="false" customHeight="false" outlineLevel="0" collapsed="false">
      <c r="B17" s="6" t="s">
        <v>58</v>
      </c>
      <c r="C17" s="23" t="n">
        <f aca="false">C15+C16</f>
        <v>1055000</v>
      </c>
      <c r="D17" s="23" t="n">
        <f aca="false">D15+D16</f>
        <v>1254310</v>
      </c>
      <c r="E17" s="23" t="n">
        <f aca="false">E15+E16</f>
        <v>1472264.8</v>
      </c>
      <c r="F17" s="23" t="n">
        <f aca="false">F15+F16</f>
        <v>1709275.984</v>
      </c>
      <c r="G17" s="23" t="n">
        <f aca="false">G15+G16</f>
        <v>1966868.06272</v>
      </c>
    </row>
    <row r="18" customFormat="false" ht="15" hidden="false" customHeight="false" outlineLevel="0" collapsed="false">
      <c r="B18" s="24" t="s">
        <v>59</v>
      </c>
      <c r="C18" s="25" t="n">
        <f aca="false">C11-C17</f>
        <v>0</v>
      </c>
      <c r="D18" s="25" t="n">
        <f aca="false">D11-D17</f>
        <v>0</v>
      </c>
      <c r="E18" s="25" t="n">
        <f aca="false">E11-E17</f>
        <v>0</v>
      </c>
      <c r="F18" s="25" t="n">
        <f aca="false">F11-F17</f>
        <v>0</v>
      </c>
      <c r="G18" s="25" t="n">
        <f aca="false">G11-G17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7" min="3" style="1" width="14"/>
  </cols>
  <sheetData>
    <row r="2" customFormat="false" ht="19.7" hidden="false" customHeight="false" outlineLevel="0" collapsed="false">
      <c r="B2" s="5" t="s">
        <v>60</v>
      </c>
      <c r="C2" s="5"/>
      <c r="D2" s="5"/>
      <c r="E2" s="5"/>
      <c r="F2" s="5"/>
      <c r="G2" s="5"/>
    </row>
    <row r="4" customFormat="false" ht="15" hidden="false" customHeight="false" outlineLevel="0" collapsed="false"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</row>
    <row r="5" customFormat="false" ht="15" hidden="false" customHeight="false" outlineLevel="0" collapsed="false">
      <c r="B5" s="26" t="s">
        <v>44</v>
      </c>
      <c r="D5" s="21" t="n">
        <f aca="false">Income_Statement!D15</f>
        <v>193590</v>
      </c>
      <c r="E5" s="21" t="n">
        <f aca="false">Income_Statement!E15</f>
        <v>210697.2</v>
      </c>
      <c r="F5" s="21" t="n">
        <f aca="false">Income_Statement!F15</f>
        <v>229172.976</v>
      </c>
      <c r="G5" s="21" t="n">
        <f aca="false">Income_Statement!G15</f>
        <v>249126.81408</v>
      </c>
    </row>
    <row r="6" customFormat="false" ht="15" hidden="false" customHeight="false" outlineLevel="0" collapsed="false">
      <c r="B6" s="20" t="s">
        <v>61</v>
      </c>
      <c r="D6" s="21" t="n">
        <f aca="false">-Income_Statement!D10</f>
        <v>51840</v>
      </c>
      <c r="E6" s="21" t="n">
        <f aca="false">-Income_Statement!E10</f>
        <v>55987.2</v>
      </c>
      <c r="F6" s="21" t="n">
        <f aca="false">-Income_Statement!F10</f>
        <v>60466.176</v>
      </c>
      <c r="G6" s="21" t="n">
        <f aca="false">-Income_Statement!G10</f>
        <v>65303.47008</v>
      </c>
    </row>
    <row r="7" customFormat="false" ht="15" hidden="false" customHeight="false" outlineLevel="0" collapsed="false">
      <c r="B7" s="20" t="s">
        <v>62</v>
      </c>
      <c r="D7" s="21" t="n">
        <f aca="false">-(Balance_Sheet!D7-Balance_Sheet!C7)</f>
        <v>-12560</v>
      </c>
      <c r="E7" s="21" t="n">
        <f aca="false">-(Balance_Sheet!E7-Balance_Sheet!D7)</f>
        <v>-11404.8</v>
      </c>
      <c r="F7" s="21" t="n">
        <f aca="false">-(Balance_Sheet!F7-Balance_Sheet!E7)</f>
        <v>-12317.184</v>
      </c>
      <c r="G7" s="21" t="n">
        <f aca="false">-(Balance_Sheet!G7-Balance_Sheet!F7)</f>
        <v>-13302.55872</v>
      </c>
    </row>
    <row r="8" customFormat="false" ht="15" hidden="false" customHeight="false" outlineLevel="0" collapsed="false">
      <c r="B8" s="20" t="s">
        <v>63</v>
      </c>
      <c r="D8" s="21" t="n">
        <f aca="false">-(Balance_Sheet!D8-Balance_Sheet!C8)</f>
        <v>-8680</v>
      </c>
      <c r="E8" s="21" t="n">
        <f aca="false">-(Balance_Sheet!E8-Balance_Sheet!D8)</f>
        <v>-8294.40000000001</v>
      </c>
      <c r="F8" s="21" t="n">
        <f aca="false">-(Balance_Sheet!F8-Balance_Sheet!E8)</f>
        <v>-8957.95200000001</v>
      </c>
      <c r="G8" s="21" t="n">
        <f aca="false">-(Balance_Sheet!G8-Balance_Sheet!F8)</f>
        <v>-9674.58816000001</v>
      </c>
    </row>
    <row r="9" customFormat="false" ht="15" hidden="false" customHeight="false" outlineLevel="0" collapsed="false">
      <c r="B9" s="20" t="s">
        <v>64</v>
      </c>
      <c r="D9" s="21" t="n">
        <f aca="false">Balance_Sheet!D13-Balance_Sheet!C13</f>
        <v>5720.00000000002</v>
      </c>
      <c r="E9" s="21" t="n">
        <f aca="false">Balance_Sheet!E13-Balance_Sheet!D13</f>
        <v>7257.59999999999</v>
      </c>
      <c r="F9" s="21" t="n">
        <f aca="false">Balance_Sheet!F13-Balance_Sheet!E13</f>
        <v>7838.20800000001</v>
      </c>
      <c r="G9" s="21" t="n">
        <f aca="false">Balance_Sheet!G13-Balance_Sheet!F13</f>
        <v>8465.26464000001</v>
      </c>
    </row>
    <row r="10" customFormat="false" ht="15" hidden="false" customHeight="false" outlineLevel="0" collapsed="false">
      <c r="B10" s="6" t="s">
        <v>65</v>
      </c>
      <c r="D10" s="22" t="n">
        <f aca="false">SUM(D5:D9)</f>
        <v>229910</v>
      </c>
      <c r="E10" s="22" t="n">
        <f aca="false">SUM(E5:E9)</f>
        <v>254242.8</v>
      </c>
      <c r="F10" s="22" t="n">
        <f aca="false">SUM(F5:F9)</f>
        <v>276202.224</v>
      </c>
      <c r="G10" s="22" t="n">
        <f aca="false">SUM(G5:G9)</f>
        <v>299918.40192</v>
      </c>
    </row>
    <row r="11" customFormat="false" ht="15" hidden="false" customHeight="false" outlineLevel="0" collapsed="false">
      <c r="B11" s="20" t="s">
        <v>66</v>
      </c>
      <c r="D11" s="21" t="n">
        <f aca="false">-Income_Statement!D5*CapExPct</f>
        <v>-64800</v>
      </c>
      <c r="E11" s="21" t="n">
        <f aca="false">-Income_Statement!E5*CapExPct</f>
        <v>-69984</v>
      </c>
      <c r="F11" s="21" t="n">
        <f aca="false">-Income_Statement!F5*CapExPct</f>
        <v>-75582.72</v>
      </c>
      <c r="G11" s="21" t="n">
        <f aca="false">-Income_Statement!G5*CapExPct</f>
        <v>-81629.3376</v>
      </c>
    </row>
    <row r="12" customFormat="false" ht="15" hidden="false" customHeight="false" outlineLevel="0" collapsed="false">
      <c r="B12" s="6" t="s">
        <v>67</v>
      </c>
      <c r="D12" s="23" t="n">
        <f aca="false">D10+D11</f>
        <v>165110</v>
      </c>
      <c r="E12" s="23" t="n">
        <f aca="false">E10+E11</f>
        <v>184258.8</v>
      </c>
      <c r="F12" s="23" t="n">
        <f aca="false">F10+F11</f>
        <v>200619.504</v>
      </c>
      <c r="G12" s="23" t="n">
        <f aca="false">G10+G11</f>
        <v>218289.06432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7" min="3" style="1" width="14"/>
  </cols>
  <sheetData>
    <row r="2" customFormat="false" ht="22.05" hidden="false" customHeight="false" outlineLevel="0" collapsed="false">
      <c r="B2" s="27" t="s">
        <v>68</v>
      </c>
      <c r="C2" s="27"/>
      <c r="D2" s="27"/>
      <c r="E2" s="27"/>
      <c r="F2" s="27"/>
      <c r="G2" s="27"/>
    </row>
    <row r="3" customFormat="false" ht="15" hidden="false" customHeight="false" outlineLevel="0" collapsed="false">
      <c r="B3" s="3" t="str">
        <f aca="false">CONCATENATE("Active Scenario: ", Assumptions!D4)</f>
        <v>Active Scenario: Base</v>
      </c>
    </row>
    <row r="5" customFormat="false" ht="15" hidden="false" customHeight="false" outlineLevel="0" collapsed="false"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</row>
    <row r="6" customFormat="false" ht="15" hidden="false" customHeight="false" outlineLevel="0" collapsed="false">
      <c r="B6" s="6" t="s">
        <v>21</v>
      </c>
      <c r="C6" s="28" t="n">
        <f aca="false">Income_Statement!C5</f>
        <v>1200000</v>
      </c>
      <c r="D6" s="28" t="n">
        <f aca="false">Income_Statement!D5</f>
        <v>1296000</v>
      </c>
      <c r="E6" s="28" t="n">
        <f aca="false">Income_Statement!E5</f>
        <v>1399680</v>
      </c>
      <c r="F6" s="28" t="n">
        <f aca="false">Income_Statement!F5</f>
        <v>1511654.4</v>
      </c>
      <c r="G6" s="28" t="n">
        <f aca="false">Income_Statement!G5</f>
        <v>1632586.752</v>
      </c>
    </row>
    <row r="7" customFormat="false" ht="15" hidden="false" customHeight="false" outlineLevel="0" collapsed="false">
      <c r="B7" s="6" t="s">
        <v>69</v>
      </c>
      <c r="D7" s="29" t="n">
        <f aca="false">IFERROR(Income_Statement!D5/Income_Statement!C5-1,0)</f>
        <v>0.0800000000000001</v>
      </c>
      <c r="E7" s="29" t="n">
        <f aca="false">IFERROR(Income_Statement!E5/Income_Statement!D5-1,0)</f>
        <v>0.0800000000000001</v>
      </c>
      <c r="F7" s="29" t="n">
        <f aca="false">IFERROR(Income_Statement!F5/Income_Statement!E5-1,0)</f>
        <v>0.0800000000000001</v>
      </c>
      <c r="G7" s="29" t="n">
        <f aca="false">IFERROR(Income_Statement!G5/Income_Statement!F5-1,0)</f>
        <v>0.0800000000000001</v>
      </c>
    </row>
    <row r="8" customFormat="false" ht="15" hidden="false" customHeight="false" outlineLevel="0" collapsed="false">
      <c r="B8" s="6" t="s">
        <v>13</v>
      </c>
      <c r="C8" s="29" t="n">
        <f aca="false">Income_Statement!C7/Income_Statement!C5</f>
        <v>0.58</v>
      </c>
      <c r="D8" s="29" t="n">
        <f aca="false">Income_Statement!D7/Income_Statement!D5</f>
        <v>0.58</v>
      </c>
      <c r="E8" s="29" t="n">
        <f aca="false">Income_Statement!E7/Income_Statement!E5</f>
        <v>0.58</v>
      </c>
      <c r="F8" s="29" t="n">
        <f aca="false">Income_Statement!F7/Income_Statement!F5</f>
        <v>0.58</v>
      </c>
      <c r="G8" s="29" t="n">
        <f aca="false">Income_Statement!G7/Income_Statement!G5</f>
        <v>0.58</v>
      </c>
    </row>
    <row r="9" customFormat="false" ht="15" hidden="false" customHeight="false" outlineLevel="0" collapsed="false">
      <c r="B9" s="6" t="s">
        <v>70</v>
      </c>
      <c r="C9" s="29" t="n">
        <f aca="false">Income_Statement!C9/Income_Statement!C5</f>
        <v>0.26</v>
      </c>
      <c r="D9" s="29" t="n">
        <f aca="false">Income_Statement!D9/Income_Statement!D5</f>
        <v>0.26</v>
      </c>
      <c r="E9" s="29" t="n">
        <f aca="false">Income_Statement!E9/Income_Statement!E5</f>
        <v>0.26</v>
      </c>
      <c r="F9" s="29" t="n">
        <f aca="false">Income_Statement!F9/Income_Statement!F5</f>
        <v>0.26</v>
      </c>
      <c r="G9" s="29" t="n">
        <f aca="false">Income_Statement!G9/Income_Statement!G5</f>
        <v>0.26</v>
      </c>
    </row>
    <row r="10" customFormat="false" ht="15" hidden="false" customHeight="false" outlineLevel="0" collapsed="false">
      <c r="B10" s="6" t="s">
        <v>71</v>
      </c>
      <c r="C10" s="29" t="n">
        <f aca="false">Income_Statement!C15/Income_Statement!C5</f>
        <v>0.148125</v>
      </c>
      <c r="D10" s="29" t="n">
        <f aca="false">Income_Statement!D15/Income_Statement!D5</f>
        <v>0.149375</v>
      </c>
      <c r="E10" s="29" t="n">
        <f aca="false">Income_Statement!E15/Income_Statement!E5</f>
        <v>0.150532407407407</v>
      </c>
      <c r="F10" s="29" t="n">
        <f aca="false">Income_Statement!F15/Income_Statement!F5</f>
        <v>0.151604080932785</v>
      </c>
      <c r="G10" s="29" t="n">
        <f aca="false">Income_Statement!G15/Income_Statement!G5</f>
        <v>0.15259637123406</v>
      </c>
    </row>
    <row r="11" customFormat="false" ht="15" hidden="false" customHeight="false" outlineLevel="0" collapsed="false">
      <c r="B11" s="6" t="s">
        <v>72</v>
      </c>
      <c r="C11" s="30" t="n">
        <f aca="false">Balance_Sheet!C9/Balance_Sheet!C13</f>
        <v>4.76470588235294</v>
      </c>
      <c r="D11" s="30" t="n">
        <f aca="false">Balance_Sheet!D9/Balance_Sheet!D13</f>
        <v>6.51840828924162</v>
      </c>
      <c r="E11" s="30" t="n">
        <f aca="false">Balance_Sheet!E9/Balance_Sheet!E13</f>
        <v>8.11724312495917</v>
      </c>
      <c r="F11" s="30" t="n">
        <f aca="false">Balance_Sheet!F9/Balance_Sheet!F13</f>
        <v>9.61295537241468</v>
      </c>
      <c r="G11" s="30" t="n">
        <f aca="false">Balance_Sheet!G9/Balance_Sheet!G13</f>
        <v>11.0120496957912</v>
      </c>
    </row>
    <row r="12" customFormat="false" ht="15" hidden="false" customHeight="false" outlineLevel="0" collapsed="false">
      <c r="B12" s="6" t="s">
        <v>73</v>
      </c>
      <c r="C12" s="30" t="n">
        <f aca="false">Balance_Sheet!C14/Balance_Sheet!C16</f>
        <v>0.865384615384615</v>
      </c>
      <c r="D12" s="30" t="n">
        <f aca="false">Balance_Sheet!D14/Balance_Sheet!D16</f>
        <v>0.630614218248574</v>
      </c>
      <c r="E12" s="30" t="n">
        <f aca="false">Balance_Sheet!E14/Balance_Sheet!E16</f>
        <v>0.486861659449574</v>
      </c>
      <c r="F12" s="30" t="n">
        <f aca="false">Balance_Sheet!F14/Balance_Sheet!F16</f>
        <v>0.390130504167489</v>
      </c>
      <c r="G12" s="30" t="n">
        <f aca="false">Balance_Sheet!G14/Balance_Sheet!G16</f>
        <v>0.320835715134028</v>
      </c>
    </row>
    <row r="13" customFormat="false" ht="15" hidden="false" customHeight="false" outlineLevel="0" collapsed="false">
      <c r="B13" s="6" t="s">
        <v>74</v>
      </c>
      <c r="C13" s="29" t="n">
        <f aca="false">IFERROR(Income_Statement!C15/Balance_Sheet!C16,0)</f>
        <v>0.341826923076923</v>
      </c>
      <c r="D13" s="29" t="n">
        <f aca="false">IFERROR(Income_Statement!D15/Balance_Sheet!D16,0)</f>
        <v>0.271290236690537</v>
      </c>
      <c r="E13" s="29" t="n">
        <f aca="false">IFERROR(Income_Statement!E15/Balance_Sheet!E16,0)</f>
        <v>0.227956418740842</v>
      </c>
      <c r="F13" s="29" t="n">
        <f aca="false">IFERROR(Income_Statement!F15/Balance_Sheet!F16,0)</f>
        <v>0.198683041485431</v>
      </c>
      <c r="G13" s="29" t="n">
        <f aca="false">IFERROR(Income_Statement!G15/Balance_Sheet!G16,0)</f>
        <v>0.177619510120931</v>
      </c>
    </row>
  </sheetData>
  <mergeCells count="1">
    <mergeCell ref="B2:G2"/>
  </mergeCells>
  <conditionalFormatting sqref="C6:G13">
    <cfRule type="colorScale" priority="2">
      <colorScale>
        <cfvo type="min" val="0"/>
        <cfvo type="percentile" val="50"/>
        <cfvo type="max" val="0"/>
        <color rgb="FFFADBD8"/>
        <color rgb="FFFDEBD0"/>
        <color rgb="FFABEBC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0"/>
  </cols>
  <sheetData>
    <row r="2" customFormat="false" ht="19.7" hidden="false" customHeight="false" outlineLevel="0" collapsed="false">
      <c r="B2" s="31" t="s">
        <v>75</v>
      </c>
    </row>
    <row r="3" customFormat="false" ht="15" hidden="false" customHeight="false" outlineLevel="0" collapsed="false">
      <c r="B3" s="3" t="s">
        <v>76</v>
      </c>
    </row>
    <row r="5" customFormat="false" ht="900" hidden="false" customHeight="true" outlineLevel="0" collapsed="false">
      <c r="B5" s="3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2026-04-25T02:21:28Z</dcterms:created>
  <dc:creator>openpyxl</dc:creator>
  <dc:description/>
  <dc:language>en-US</dc:language>
  <cp:lastModifiedBy/>
  <dcterms:modified xsi:type="dcterms:W3CDTF">2026-04-25T02:21:28Z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