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ta" sheetId="2" state="visible" r:id="rId4"/>
    <sheet name="Summary" sheetId="3" state="visible" r:id="rId5"/>
    <sheet name="MonteCarlo" sheetId="4" state="visible" r:id="rId6"/>
    <sheet name="VBA_Code" sheetId="5" state="visible" r:id="rId7"/>
  </sheets>
  <definedNames>
    <definedName function="false" hidden="false" name="MC_BaseRev" vbProcedure="false">MonteCarlo!$C$5</definedName>
    <definedName function="false" hidden="false" name="MC_Horizon" vbProcedure="false">MonteCarlo!$C$10</definedName>
    <definedName function="false" hidden="false" name="MC_MaxG" vbProcedure="false">MonteCarlo!$C$8</definedName>
    <definedName function="false" hidden="false" name="MC_MinG" vbProcedure="false">MonteCarlo!$C$6</definedName>
    <definedName function="false" hidden="false" name="MC_ModeG" vbProcedure="false">MonteCarlo!$C$7</definedName>
    <definedName function="false" hidden="false" name="MC_Trials" vbProcedure="false">MonteCarlo!$C$9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<sst xmlns="http://schemas.openxmlformats.org/spreadsheetml/2006/main" count="1324" uniqueCount="62">
  <si>
    <t xml:space="preserve">FP&amp;A BUDGET SIMULATOR</t>
  </si>
  <si>
    <t xml:space="preserve">Budget vs Actual · Variance Analysis · Monte Carlo Forecast</t>
  </si>
  <si>
    <t xml:space="preserve">A complete FP&amp;A workflow: monthly budget vs actual across five business units, SUMIFS-driven variance rollup, a two-way INDEX/MATCH lookup by month × unit, and a VBA-powered Monte Carlo simulation that runs 1,000 trials on revenue growth (sampled from a triangular distribution: -2% min, 8% mode, 18% max) to produce a forecast distribution with P10/P50/P90 percentiles. Demonstrates the core toolkit expected in a Senior Financial Analyst or FP&amp;A role.</t>
  </si>
  <si>
    <t xml:space="preserve">BUDGET vs ACTUAL — LINE ITEMS</t>
  </si>
  <si>
    <t xml:space="preserve">Month</t>
  </si>
  <si>
    <t xml:space="preserve">Month #</t>
  </si>
  <si>
    <t xml:space="preserve">Business Unit</t>
  </si>
  <si>
    <t xml:space="preserve">Line Item</t>
  </si>
  <si>
    <t xml:space="preserve">Budget ($)</t>
  </si>
  <si>
    <t xml:space="preserve">Actual ($)</t>
  </si>
  <si>
    <t xml:space="preserve">Jan</t>
  </si>
  <si>
    <t xml:space="preserve">Retail Banking</t>
  </si>
  <si>
    <t xml:space="preserve">Revenue</t>
  </si>
  <si>
    <t xml:space="preserve">Salaries</t>
  </si>
  <si>
    <t xml:space="preserve">Technology</t>
  </si>
  <si>
    <t xml:space="preserve">Marketing</t>
  </si>
  <si>
    <t xml:space="preserve">Facilities</t>
  </si>
  <si>
    <t xml:space="preserve">Travel</t>
  </si>
  <si>
    <t xml:space="preserve">Professional Fees</t>
  </si>
  <si>
    <t xml:space="preserve">Corporate Finance</t>
  </si>
  <si>
    <t xml:space="preserve">Wealth Management</t>
  </si>
  <si>
    <t xml:space="preserve">Compliance</t>
  </si>
  <si>
    <t xml:space="preserve">Operations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</si>
  <si>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</si>
  <si>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</si>
  <si>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</si>
  <si>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</si>
  <si>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</si>
  <si>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</si>
  <si>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</si>
  <si>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</si>
  <si>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</si>
  <si>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</si>
  <si>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</si>
  <si>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MONTHLY BUDGET vs ACTUAL — BY BUSINESS UNIT</t>
  </si>
  <si>
    <t xml:space="preserve">FY Total</t>
  </si>
  <si>
    <t xml:space="preserve">TWO-WAY LOOKUP (INDEX/MATCH)</t>
  </si>
  <si>
    <t xml:space="preserve">Select Month</t>
  </si>
  <si>
    <t xml:space="preserve">Select Business Unit</t>
  </si>
  <si>
    <t xml:space="preserve">Variance % (lookup)</t>
  </si>
  <si>
    <t xml:space="preserve">MONTE CARLO REVENUE FORECAST</t>
  </si>
  <si>
    <t xml:space="preserve">INPUTS</t>
  </si>
  <si>
    <t xml:space="preserve">Base Revenue ($)</t>
  </si>
  <si>
    <t xml:space="preserve">Min Growth Rate</t>
  </si>
  <si>
    <t xml:space="preserve">Mode Growth Rate</t>
  </si>
  <si>
    <t xml:space="preserve">Max Growth Rate</t>
  </si>
  <si>
    <t xml:space="preserve">Number of Trials</t>
  </si>
  <si>
    <t xml:space="preserve">Forecast Horizon (yrs)</t>
  </si>
  <si>
    <t xml:space="preserve">RESULTS (populated by VBA macro)</t>
  </si>
  <si>
    <t xml:space="preserve">Percentile</t>
  </si>
  <si>
    <t xml:space="preserve">Forecast Revenue</t>
  </si>
  <si>
    <t xml:space="preserve">P10 (Bear)</t>
  </si>
  <si>
    <t xml:space="preserve">— run macro —</t>
  </si>
  <si>
    <t xml:space="preserve">P25</t>
  </si>
  <si>
    <t xml:space="preserve">P50 (Median)</t>
  </si>
  <si>
    <t xml:space="preserve">P75</t>
  </si>
  <si>
    <t xml:space="preserve">P90 (Bull)</t>
  </si>
  <si>
    <t xml:space="preserve">Mean</t>
  </si>
  <si>
    <t xml:space="preserve">Std Dev</t>
  </si>
  <si>
    <t xml:space="preserve">VBA MACROS — Monte Carlo Simulator</t>
  </si>
  <si>
    <t xml:space="preserve">Import FPAMacros.bas via Alt+F11 → File → Import File.</t>
  </si>
  <si>
    <t xml:space="preserve">Option Explicit
' ============================================================
' FPAMacros.bas  —  Kartik Joshi
' FP&amp;A Budget Simulator — Monte Carlo revenue forecast
' Triangular distribution on annual growth rate
' ============================================================
Public Sub RunMonteCarlo()
    Dim mc As Worksheet, out As Worksheet
    Dim trials As Long, horizon As Long, i As Long, y As Long
    Dim baseRev As Double, minG As Double, modeG As Double, maxG As Double
    Dim rev As Double, u As Double, g As Double, Fc As Double
    Set mc = ThisWorkbook.Worksheets("MonteCarlo")
    baseRev = mc.Range("MC_BaseRev").Value
    minG    = mc.Range("MC_MinG").Value
    modeG   = mc.Range("MC_ModeG").Value
    maxG    = mc.Range("MC_MaxG").Value
    trials  = mc.Range("MC_Trials").Value
    horizon = mc.Range("MC_Horizon").Value
    ' Prepare output sheet
    On Error Resume Next
    Application.DisplayAlerts = False
    ThisWorkbook.Worksheets("MC_Results").Delete
    Application.DisplayAlerts = True
    On Error GoTo 0
    Set out = ThisWorkbook.Worksheets.Add(After:= _
        ThisWorkbook.Worksheets(ThisWorkbook.Worksheets.Count))
    out.Name = "MC_Results"
    out.Range("A1").Value = "Trial"
    out.Range("B1").Value = "Forecast Revenue"
    out.Range("A1:B1").Font.Bold = True
    ' Triangular sampling using inverse CDF
    ' Fc = (mode - min)/(max - min)
    Fc = (modeG - minG) / (maxG - minG)
    Application.ScreenUpdating = False
    Randomize
    ReDim results(1 To trials) As Double
    For i = 1 To trials
        rev = baseRev
        For y = 1 To horizon
            u = Rnd()
            If u &lt; Fc Then
                g = minG + Sqr(u * (maxG - minG) * (modeG - minG))
            Else
                g = maxG - Sqr((1 - u) * (maxG - minG) * (maxG - modeG))
            End If
            rev = rev * (1 + g)
        Next y
        results(i) = rev
        out.Cells(i + 1, 1).Value = i
        out.Cells(i + 1, 2).Value = rev
    Next i
    out.Columns("B").NumberFormat = "$#,##0"
    Application.ScreenUpdating = True
    ' Write percentiles back to MonteCarlo sheet
    mc.Range("C15").Value = WorksheetFunction.Percentile(results, 0.1)
    mc.Range("C16").Value = WorksheetFunction.Percentile(results, 0.25)
    mc.Range("C17").Value = WorksheetFunction.Percentile(results, 0.5)
    mc.Range("C18").Value = WorksheetFunction.Percentile(results, 0.75)
    mc.Range("C19").Value = WorksheetFunction.Percentile(results, 0.9)
    mc.Range("C20").Value = WorksheetFunction.Average(results)
    mc.Range("C21").Value = WorksheetFunction.StDev(results)
    mc.Range("C15:C21").NumberFormat = "$#,##0"
    mc.Range("C15:C21").Font.Color = RGB(0, 0, 0)
    mc.Range("C15:C21").Font.Bold = True
    mc.Range("C15:C21").Interior.Color = RGB(213, 245, 227)
    MsgBox trials &amp; " Monte Carlo trials complete over " &amp; horizon &amp; "-year horizon.", vbInformation
End Sub
Public Sub ExportVarianceReport()
    Dim src As Worksheet, rep As Worksheet, i As Long, outRow As Long, threshold As Double
    Set src = ThisWorkbook.Worksheets("Data")
    threshold = 0.15 ' 15% variance threshold for exceptions
    On Error Resume Next
    Application.DisplayAlerts = False
    ThisWorkbook.Worksheets("Variance_Exceptions").Delete
    Application.DisplayAlerts = True
    On Error GoTo 0
    Set rep = ThisWorkbook.Worksheets.Add(After:= _
        ThisWorkbook.Worksheets(ThisWorkbook.Worksheets.Count))
    rep.Name = "Variance_Exceptions"
    rep.Range("B2").Value = "VARIANCE EXCEPTIONS (&gt; 15% over/under budget)"
    rep.Range("B2").Font.Bold = True
    rep.Range("B2").Font.Size = 14
    Dim headers As Variant
    headers = Array("Month", "Business Unit", "Line Item", "Budget", "Actual", "Variance $", "Variance %")
    Dim j As Integer
    For j = LBound(headers) To UBound(headers)
        rep.Cells(4, 2 + j).Value = headers(j)
        rep.Cells(4, 2 + j).Font.Bold = True
        rep.Cells(4, 2 + j).Interior.Color = RGB(27, 42, 73)
        rep.Cells(4, 2 + j).Font.Color = RGB(255, 255, 255)
    Next j
    outRow = 5
    Dim pct As Double
    For i = 5 To 424
        If src.Cells(i, 6).Value &gt; 0 Then
            pct = (src.Cells(i, 7).Value - src.Cells(i, 6).Value) / src.Cells(i, 6).Value
            If Abs(pct) &gt; threshold Then
                rep.Cells(outRow, 2).Value = src.Cells(i, 2).Value
                rep.Cells(outRow, 3).Value = src.Cells(i, 4).Value
                rep.Cells(outRow, 4).Value = src.Cells(i, 5).Value
                rep.Cells(outRow, 5).Value = src.Cells(i, 6).Value
                rep.Cells(outRow, 6).Value = src.Cells(i, 7).Value
                rep.Cells(outRow, 7).Value = src.Cells(i, 7).Value - src.Cells(i, 6).Value
                rep.Cells(outRow, 8).Value = pct
                If pct &gt; 0 Then
                    rep.Cells(outRow, 8).Interior.Color = RGB(250, 219, 216)
                Else
                    rep.Cells(outRow, 8).Interior.Color = RGB(213, 245, 227)
                End If
                outRow = outRow + 1
            End If
        End If
    Next i
    rep.Range("E:G").NumberFormat = "$#,##0"
    rep.Range("H:H").NumberFormat = "0.0%"
    rep.Columns("B:H").AutoFit
    MsgBox (outRow - 5) &amp; " variance exceptions written to Variance_Exceptions sheet.", vbInformation
End Sub
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</si>
</sst>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#,##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B2A49"/>
      <name val="Calibri"/>
      <family val="0"/>
      <charset val="1"/>
    </font>
    <font>
      <i val="true"/>
      <sz val="11"/>
      <color rgb="FF2E86C1"/>
      <name val="Calibri"/>
      <family val="0"/>
      <charset val="1"/>
    </font>
    <font>
      <sz val="11"/>
      <color rgb="FF2C3E50"/>
      <name val="Calibri"/>
      <family val="0"/>
      <charset val="1"/>
    </font>
    <font>
      <b val="true"/>
      <sz val="16"/>
      <color rgb="FF1B2A4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1B2A4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3"/>
      <color rgb="FF1B2A49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11"/>
      <color rgb="FF7F8C8D"/>
      <name val="Calibri"/>
      <family val="0"/>
      <charset val="1"/>
    </font>
    <font>
      <sz val="10"/>
      <color rgb="FF1B2A49"/>
      <name val="Consola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9"/>
        <bgColor rgb="FF2C3E50"/>
      </patternFill>
    </fill>
    <fill>
      <patternFill patternType="solid">
        <fgColor rgb="FFEAF2F8"/>
        <bgColor rgb="FFF4F6F7"/>
      </patternFill>
    </fill>
    <fill>
      <patternFill patternType="solid">
        <fgColor rgb="FFF4F6F7"/>
        <bgColor rgb="FFEAF2F8"/>
      </patternFill>
    </fill>
    <fill>
      <patternFill patternType="solid">
        <fgColor rgb="FFFCF3CF"/>
        <bgColor rgb="FFF4F6F7"/>
      </patternFill>
    </fill>
    <fill>
      <patternFill patternType="solid">
        <fgColor rgb="FFD5F5E3"/>
        <bgColor rgb="FFEAF2F8"/>
      </patternFill>
    </fill>
    <fill>
      <patternFill patternType="solid">
        <fgColor rgb="FFFFFFFF"/>
        <bgColor rgb="FFF4F6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CF3CF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5F5E3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B2A49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9" min="2" style="1" width="16"/>
  </cols>
  <sheetData>
    <row r="2" customFormat="false" ht="26.8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B6" s="4"/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B11" s="4"/>
      <c r="C11" s="4"/>
      <c r="D11" s="4"/>
      <c r="E11" s="4"/>
      <c r="F11" s="4"/>
      <c r="G11" s="4"/>
      <c r="H11" s="4"/>
      <c r="I11" s="4"/>
    </row>
  </sheetData>
  <mergeCells count="1">
    <mergeCell ref="B5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7" min="5" style="1" width="16"/>
  </cols>
  <sheetData>
    <row r="2" customFormat="false" ht="19.7" hidden="false" customHeight="false" outlineLevel="0" collapsed="false">
      <c r="B2" s="5" t="s">
        <v>3</v>
      </c>
      <c r="C2" s="5"/>
      <c r="D2" s="5"/>
      <c r="E2" s="5"/>
      <c r="F2" s="5"/>
      <c r="G2" s="5"/>
    </row>
    <row r="4" customFormat="false" ht="15" hidden="false" customHeight="false" outlineLevel="0" collapsed="false"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</row>
    <row r="5" customFormat="false" ht="15" hidden="false" customHeight="false" outlineLevel="0" collapsed="false">
      <c r="B5" s="7" t="s">
        <v>10</v>
      </c>
      <c r="C5" s="8" t="n">
        <v>1</v>
      </c>
      <c r="D5" s="7" t="s">
        <v>11</v>
      </c>
      <c r="E5" s="7" t="s">
        <v>12</v>
      </c>
      <c r="F5" s="9" t="n">
        <v>121466</v>
      </c>
      <c r="G5" s="9" t="n">
        <v>141240</v>
      </c>
    </row>
    <row r="6" customFormat="false" ht="15" hidden="false" customHeight="false" outlineLevel="0" collapsed="false">
      <c r="B6" s="7" t="s">
        <v>10</v>
      </c>
      <c r="C6" s="8" t="n">
        <v>1</v>
      </c>
      <c r="D6" s="7" t="s">
        <v>11</v>
      </c>
      <c r="E6" s="7" t="s">
        <v>13</v>
      </c>
      <c r="F6" s="9" t="n">
        <v>63524</v>
      </c>
      <c r="G6" s="9" t="n">
        <v>65723</v>
      </c>
    </row>
    <row r="7" customFormat="false" ht="15" hidden="false" customHeight="false" outlineLevel="0" collapsed="false">
      <c r="B7" s="7" t="s">
        <v>10</v>
      </c>
      <c r="C7" s="8" t="n">
        <v>1</v>
      </c>
      <c r="D7" s="7" t="s">
        <v>11</v>
      </c>
      <c r="E7" s="7" t="s">
        <v>14</v>
      </c>
      <c r="F7" s="9" t="n">
        <v>10311</v>
      </c>
      <c r="G7" s="9" t="n">
        <v>12906</v>
      </c>
    </row>
    <row r="8" customFormat="false" ht="15" hidden="false" customHeight="false" outlineLevel="0" collapsed="false">
      <c r="B8" s="7" t="s">
        <v>10</v>
      </c>
      <c r="C8" s="8" t="n">
        <v>1</v>
      </c>
      <c r="D8" s="7" t="s">
        <v>11</v>
      </c>
      <c r="E8" s="7" t="s">
        <v>15</v>
      </c>
      <c r="F8" s="9" t="n">
        <v>6925</v>
      </c>
      <c r="G8" s="9" t="n">
        <v>6620</v>
      </c>
    </row>
    <row r="9" customFormat="false" ht="15" hidden="false" customHeight="false" outlineLevel="0" collapsed="false">
      <c r="B9" s="7" t="s">
        <v>10</v>
      </c>
      <c r="C9" s="8" t="n">
        <v>1</v>
      </c>
      <c r="D9" s="7" t="s">
        <v>11</v>
      </c>
      <c r="E9" s="7" t="s">
        <v>16</v>
      </c>
      <c r="F9" s="9" t="n">
        <v>7484</v>
      </c>
      <c r="G9" s="9" t="n">
        <v>7790</v>
      </c>
    </row>
    <row r="10" customFormat="false" ht="15" hidden="false" customHeight="false" outlineLevel="0" collapsed="false">
      <c r="B10" s="7" t="s">
        <v>10</v>
      </c>
      <c r="C10" s="8" t="n">
        <v>1</v>
      </c>
      <c r="D10" s="7" t="s">
        <v>11</v>
      </c>
      <c r="E10" s="7" t="s">
        <v>17</v>
      </c>
      <c r="F10" s="9" t="n">
        <v>3454</v>
      </c>
      <c r="G10" s="9" t="n">
        <v>1869</v>
      </c>
    </row>
    <row r="11" customFormat="false" ht="15" hidden="false" customHeight="false" outlineLevel="0" collapsed="false">
      <c r="B11" s="7" t="s">
        <v>10</v>
      </c>
      <c r="C11" s="8" t="n">
        <v>1</v>
      </c>
      <c r="D11" s="7" t="s">
        <v>11</v>
      </c>
      <c r="E11" s="7" t="s">
        <v>18</v>
      </c>
      <c r="F11" s="9" t="n">
        <v>7862</v>
      </c>
      <c r="G11" s="9" t="n">
        <v>8133</v>
      </c>
    </row>
    <row r="12" customFormat="false" ht="15" hidden="false" customHeight="false" outlineLevel="0" collapsed="false">
      <c r="B12" s="7" t="s">
        <v>10</v>
      </c>
      <c r="C12" s="8" t="n">
        <v>1</v>
      </c>
      <c r="D12" s="7" t="s">
        <v>19</v>
      </c>
      <c r="E12" s="7" t="s">
        <v>12</v>
      </c>
      <c r="F12" s="9" t="n">
        <v>143658</v>
      </c>
      <c r="G12" s="9" t="n">
        <v>126409</v>
      </c>
    </row>
    <row r="13" customFormat="false" ht="15" hidden="false" customHeight="false" outlineLevel="0" collapsed="false">
      <c r="B13" s="7" t="s">
        <v>10</v>
      </c>
      <c r="C13" s="8" t="n">
        <v>1</v>
      </c>
      <c r="D13" s="7" t="s">
        <v>19</v>
      </c>
      <c r="E13" s="7" t="s">
        <v>13</v>
      </c>
      <c r="F13" s="9" t="n">
        <v>80865</v>
      </c>
      <c r="G13" s="9" t="n">
        <v>77443</v>
      </c>
    </row>
    <row r="14" customFormat="false" ht="15" hidden="false" customHeight="false" outlineLevel="0" collapsed="false">
      <c r="B14" s="7" t="s">
        <v>10</v>
      </c>
      <c r="C14" s="8" t="n">
        <v>1</v>
      </c>
      <c r="D14" s="7" t="s">
        <v>19</v>
      </c>
      <c r="E14" s="7" t="s">
        <v>14</v>
      </c>
      <c r="F14" s="9" t="n">
        <v>18948</v>
      </c>
      <c r="G14" s="9" t="n">
        <v>16448</v>
      </c>
    </row>
    <row r="15" customFormat="false" ht="15" hidden="false" customHeight="false" outlineLevel="0" collapsed="false">
      <c r="B15" s="7" t="s">
        <v>10</v>
      </c>
      <c r="C15" s="8" t="n">
        <v>1</v>
      </c>
      <c r="D15" s="7" t="s">
        <v>19</v>
      </c>
      <c r="E15" s="7" t="s">
        <v>15</v>
      </c>
      <c r="F15" s="9" t="n">
        <v>10242</v>
      </c>
      <c r="G15" s="9" t="n">
        <v>11690</v>
      </c>
    </row>
    <row r="16" customFormat="false" ht="15" hidden="false" customHeight="false" outlineLevel="0" collapsed="false">
      <c r="B16" s="7" t="s">
        <v>10</v>
      </c>
      <c r="C16" s="8" t="n">
        <v>1</v>
      </c>
      <c r="D16" s="7" t="s">
        <v>19</v>
      </c>
      <c r="E16" s="7" t="s">
        <v>16</v>
      </c>
      <c r="F16" s="9" t="n">
        <v>12580</v>
      </c>
      <c r="G16" s="9" t="n">
        <v>13143</v>
      </c>
    </row>
    <row r="17" customFormat="false" ht="15" hidden="false" customHeight="false" outlineLevel="0" collapsed="false">
      <c r="B17" s="7" t="s">
        <v>10</v>
      </c>
      <c r="C17" s="8" t="n">
        <v>1</v>
      </c>
      <c r="D17" s="7" t="s">
        <v>19</v>
      </c>
      <c r="E17" s="7" t="s">
        <v>17</v>
      </c>
      <c r="F17" s="9" t="n">
        <v>6544</v>
      </c>
      <c r="G17" s="9" t="n">
        <v>7486</v>
      </c>
    </row>
    <row r="18" customFormat="false" ht="15" hidden="false" customHeight="false" outlineLevel="0" collapsed="false">
      <c r="B18" s="7" t="s">
        <v>10</v>
      </c>
      <c r="C18" s="8" t="n">
        <v>1</v>
      </c>
      <c r="D18" s="7" t="s">
        <v>19</v>
      </c>
      <c r="E18" s="7" t="s">
        <v>18</v>
      </c>
      <c r="F18" s="9" t="n">
        <v>5109</v>
      </c>
      <c r="G18" s="9" t="n">
        <v>7566</v>
      </c>
    </row>
    <row r="19" customFormat="false" ht="15" hidden="false" customHeight="false" outlineLevel="0" collapsed="false">
      <c r="B19" s="7" t="s">
        <v>10</v>
      </c>
      <c r="C19" s="8" t="n">
        <v>1</v>
      </c>
      <c r="D19" s="7" t="s">
        <v>20</v>
      </c>
      <c r="E19" s="7" t="s">
        <v>12</v>
      </c>
      <c r="F19" s="9" t="n">
        <v>74746</v>
      </c>
      <c r="G19" s="9" t="n">
        <v>77264</v>
      </c>
    </row>
    <row r="20" customFormat="false" ht="15" hidden="false" customHeight="false" outlineLevel="0" collapsed="false">
      <c r="B20" s="7" t="s">
        <v>10</v>
      </c>
      <c r="C20" s="8" t="n">
        <v>1</v>
      </c>
      <c r="D20" s="7" t="s">
        <v>20</v>
      </c>
      <c r="E20" s="7" t="s">
        <v>13</v>
      </c>
      <c r="F20" s="9" t="n">
        <v>39926</v>
      </c>
      <c r="G20" s="9" t="n">
        <v>39432</v>
      </c>
    </row>
    <row r="21" customFormat="false" ht="15" hidden="false" customHeight="false" outlineLevel="0" collapsed="false">
      <c r="B21" s="7" t="s">
        <v>10</v>
      </c>
      <c r="C21" s="8" t="n">
        <v>1</v>
      </c>
      <c r="D21" s="7" t="s">
        <v>20</v>
      </c>
      <c r="E21" s="7" t="s">
        <v>14</v>
      </c>
      <c r="F21" s="9" t="n">
        <v>8262</v>
      </c>
      <c r="G21" s="9" t="n">
        <v>9066</v>
      </c>
    </row>
    <row r="22" customFormat="false" ht="15" hidden="false" customHeight="false" outlineLevel="0" collapsed="false">
      <c r="B22" s="7" t="s">
        <v>10</v>
      </c>
      <c r="C22" s="8" t="n">
        <v>1</v>
      </c>
      <c r="D22" s="7" t="s">
        <v>20</v>
      </c>
      <c r="E22" s="7" t="s">
        <v>15</v>
      </c>
      <c r="F22" s="9" t="n">
        <v>8708</v>
      </c>
      <c r="G22" s="9" t="n">
        <v>7975</v>
      </c>
    </row>
    <row r="23" customFormat="false" ht="15" hidden="false" customHeight="false" outlineLevel="0" collapsed="false">
      <c r="B23" s="7" t="s">
        <v>10</v>
      </c>
      <c r="C23" s="8" t="n">
        <v>1</v>
      </c>
      <c r="D23" s="7" t="s">
        <v>20</v>
      </c>
      <c r="E23" s="7" t="s">
        <v>16</v>
      </c>
      <c r="F23" s="9" t="n">
        <v>7913</v>
      </c>
      <c r="G23" s="9" t="n">
        <v>7660</v>
      </c>
    </row>
    <row r="24" customFormat="false" ht="15" hidden="false" customHeight="false" outlineLevel="0" collapsed="false">
      <c r="B24" s="7" t="s">
        <v>10</v>
      </c>
      <c r="C24" s="8" t="n">
        <v>1</v>
      </c>
      <c r="D24" s="7" t="s">
        <v>20</v>
      </c>
      <c r="E24" s="7" t="s">
        <v>17</v>
      </c>
      <c r="F24" s="9" t="n">
        <v>3943</v>
      </c>
      <c r="G24" s="9" t="n">
        <v>4448</v>
      </c>
    </row>
    <row r="25" customFormat="false" ht="15" hidden="false" customHeight="false" outlineLevel="0" collapsed="false">
      <c r="B25" s="7" t="s">
        <v>10</v>
      </c>
      <c r="C25" s="8" t="n">
        <v>1</v>
      </c>
      <c r="D25" s="7" t="s">
        <v>20</v>
      </c>
      <c r="E25" s="7" t="s">
        <v>18</v>
      </c>
      <c r="F25" s="9" t="n">
        <v>4085</v>
      </c>
      <c r="G25" s="9" t="n">
        <v>4076</v>
      </c>
    </row>
    <row r="26" customFormat="false" ht="15" hidden="false" customHeight="false" outlineLevel="0" collapsed="false">
      <c r="B26" s="7" t="s">
        <v>10</v>
      </c>
      <c r="C26" s="8" t="n">
        <v>1</v>
      </c>
      <c r="D26" s="7" t="s">
        <v>21</v>
      </c>
      <c r="E26" s="7" t="s">
        <v>12</v>
      </c>
      <c r="F26" s="9" t="n">
        <v>69537</v>
      </c>
      <c r="G26" s="9" t="n">
        <v>75447</v>
      </c>
    </row>
    <row r="27" customFormat="false" ht="15" hidden="false" customHeight="false" outlineLevel="0" collapsed="false">
      <c r="B27" s="7" t="s">
        <v>10</v>
      </c>
      <c r="C27" s="8" t="n">
        <v>1</v>
      </c>
      <c r="D27" s="7" t="s">
        <v>21</v>
      </c>
      <c r="E27" s="7" t="s">
        <v>13</v>
      </c>
      <c r="F27" s="9" t="n">
        <v>35095</v>
      </c>
      <c r="G27" s="9" t="n">
        <v>33612</v>
      </c>
    </row>
    <row r="28" customFormat="false" ht="15" hidden="false" customHeight="false" outlineLevel="0" collapsed="false">
      <c r="B28" s="7" t="s">
        <v>10</v>
      </c>
      <c r="C28" s="8" t="n">
        <v>1</v>
      </c>
      <c r="D28" s="7" t="s">
        <v>21</v>
      </c>
      <c r="E28" s="7" t="s">
        <v>14</v>
      </c>
      <c r="F28" s="9" t="n">
        <v>5812</v>
      </c>
      <c r="G28" s="9" t="n">
        <v>6236</v>
      </c>
    </row>
    <row r="29" customFormat="false" ht="15" hidden="false" customHeight="false" outlineLevel="0" collapsed="false">
      <c r="B29" s="7" t="s">
        <v>10</v>
      </c>
      <c r="C29" s="8" t="n">
        <v>1</v>
      </c>
      <c r="D29" s="7" t="s">
        <v>21</v>
      </c>
      <c r="E29" s="7" t="s">
        <v>15</v>
      </c>
      <c r="F29" s="9" t="n">
        <v>5613</v>
      </c>
      <c r="G29" s="9" t="n">
        <v>5609</v>
      </c>
    </row>
    <row r="30" customFormat="false" ht="15" hidden="false" customHeight="false" outlineLevel="0" collapsed="false">
      <c r="B30" s="7" t="s">
        <v>10</v>
      </c>
      <c r="C30" s="8" t="n">
        <v>1</v>
      </c>
      <c r="D30" s="7" t="s">
        <v>21</v>
      </c>
      <c r="E30" s="7" t="s">
        <v>16</v>
      </c>
      <c r="F30" s="9" t="n">
        <v>4371</v>
      </c>
      <c r="G30" s="9" t="n">
        <v>4355</v>
      </c>
    </row>
    <row r="31" customFormat="false" ht="15" hidden="false" customHeight="false" outlineLevel="0" collapsed="false">
      <c r="B31" s="7" t="s">
        <v>10</v>
      </c>
      <c r="C31" s="8" t="n">
        <v>1</v>
      </c>
      <c r="D31" s="7" t="s">
        <v>21</v>
      </c>
      <c r="E31" s="7" t="s">
        <v>17</v>
      </c>
      <c r="F31" s="9" t="n">
        <v>3469</v>
      </c>
      <c r="G31" s="9" t="n">
        <v>3463</v>
      </c>
    </row>
    <row r="32" customFormat="false" ht="15" hidden="false" customHeight="false" outlineLevel="0" collapsed="false">
      <c r="B32" s="7" t="s">
        <v>10</v>
      </c>
      <c r="C32" s="8" t="n">
        <v>1</v>
      </c>
      <c r="D32" s="7" t="s">
        <v>21</v>
      </c>
      <c r="E32" s="7" t="s">
        <v>18</v>
      </c>
      <c r="F32" s="9" t="n">
        <v>3273</v>
      </c>
      <c r="G32" s="9" t="n">
        <v>2941</v>
      </c>
    </row>
    <row r="33" customFormat="false" ht="15" hidden="false" customHeight="false" outlineLevel="0" collapsed="false">
      <c r="B33" s="7" t="s">
        <v>10</v>
      </c>
      <c r="C33" s="8" t="n">
        <v>1</v>
      </c>
      <c r="D33" s="7" t="s">
        <v>22</v>
      </c>
      <c r="E33" s="7" t="s">
        <v>12</v>
      </c>
      <c r="F33" s="9" t="n">
        <v>73424</v>
      </c>
      <c r="G33" s="9" t="n">
        <v>79346</v>
      </c>
    </row>
    <row r="34" customFormat="false" ht="15" hidden="false" customHeight="false" outlineLevel="0" collapsed="false">
      <c r="B34" s="7" t="s">
        <v>10</v>
      </c>
      <c r="C34" s="8" t="n">
        <v>1</v>
      </c>
      <c r="D34" s="7" t="s">
        <v>22</v>
      </c>
      <c r="E34" s="7" t="s">
        <v>13</v>
      </c>
      <c r="F34" s="9" t="n">
        <v>38398</v>
      </c>
      <c r="G34" s="9" t="n">
        <v>36886</v>
      </c>
    </row>
    <row r="35" customFormat="false" ht="15" hidden="false" customHeight="false" outlineLevel="0" collapsed="false">
      <c r="B35" s="7" t="s">
        <v>10</v>
      </c>
      <c r="C35" s="8" t="n">
        <v>1</v>
      </c>
      <c r="D35" s="7" t="s">
        <v>22</v>
      </c>
      <c r="E35" s="7" t="s">
        <v>14</v>
      </c>
      <c r="F35" s="9" t="n">
        <v>8367</v>
      </c>
      <c r="G35" s="9" t="n">
        <v>9110</v>
      </c>
    </row>
    <row r="36" customFormat="false" ht="15" hidden="false" customHeight="false" outlineLevel="0" collapsed="false">
      <c r="B36" s="7" t="s">
        <v>10</v>
      </c>
      <c r="C36" s="8" t="n">
        <v>1</v>
      </c>
      <c r="D36" s="7" t="s">
        <v>22</v>
      </c>
      <c r="E36" s="7" t="s">
        <v>15</v>
      </c>
      <c r="F36" s="9" t="n">
        <v>6250</v>
      </c>
      <c r="G36" s="9" t="n">
        <v>7566</v>
      </c>
    </row>
    <row r="37" customFormat="false" ht="15" hidden="false" customHeight="false" outlineLevel="0" collapsed="false">
      <c r="B37" s="7" t="s">
        <v>10</v>
      </c>
      <c r="C37" s="8" t="n">
        <v>1</v>
      </c>
      <c r="D37" s="7" t="s">
        <v>22</v>
      </c>
      <c r="E37" s="7" t="s">
        <v>16</v>
      </c>
      <c r="F37" s="9" t="n">
        <v>5743</v>
      </c>
      <c r="G37" s="9" t="n">
        <v>5805</v>
      </c>
    </row>
    <row r="38" customFormat="false" ht="15" hidden="false" customHeight="false" outlineLevel="0" collapsed="false">
      <c r="B38" s="7" t="s">
        <v>10</v>
      </c>
      <c r="C38" s="8" t="n">
        <v>1</v>
      </c>
      <c r="D38" s="7" t="s">
        <v>22</v>
      </c>
      <c r="E38" s="7" t="s">
        <v>17</v>
      </c>
      <c r="F38" s="9" t="n">
        <v>1839</v>
      </c>
      <c r="G38" s="9" t="n">
        <v>1158</v>
      </c>
    </row>
    <row r="39" customFormat="false" ht="15" hidden="false" customHeight="false" outlineLevel="0" collapsed="false">
      <c r="B39" s="7" t="s">
        <v>10</v>
      </c>
      <c r="C39" s="8" t="n">
        <v>1</v>
      </c>
      <c r="D39" s="7" t="s">
        <v>22</v>
      </c>
      <c r="E39" s="7" t="s">
        <v>18</v>
      </c>
      <c r="F39" s="9" t="n">
        <v>5140</v>
      </c>
      <c r="G39" s="9" t="n">
        <v>4276</v>
      </c>
    </row>
    <row r="40" customFormat="false" ht="15" hidden="false" customHeight="false" outlineLevel="0" collapsed="false">
      <c r="B40" s="7" t="s">
        <v>23</v>
      </c>
      <c r="C40" s="8" t="n">
        <v>2</v>
      </c>
      <c r="D40" s="7" t="s">
        <v>11</v>
      </c>
      <c r="E40" s="7" t="s">
        <v>12</v>
      </c>
      <c r="F40" s="9" t="n">
        <v>122899</v>
      </c>
      <c r="G40" s="9" t="n">
        <v>110628</v>
      </c>
    </row>
    <row r="41" customFormat="false" ht="15" hidden="false" customHeight="false" outlineLevel="0" collapsed="false">
      <c r="B41" s="7" t="s">
        <v>23</v>
      </c>
      <c r="C41" s="8" t="n">
        <v>2</v>
      </c>
      <c r="D41" s="7" t="s">
        <v>11</v>
      </c>
      <c r="E41" s="7" t="s">
        <v>13</v>
      </c>
      <c r="F41" s="9" t="n">
        <v>67226</v>
      </c>
      <c r="G41" s="9" t="n">
        <v>67550</v>
      </c>
    </row>
    <row r="42" customFormat="false" ht="15" hidden="false" customHeight="false" outlineLevel="0" collapsed="false">
      <c r="B42" s="7" t="s">
        <v>23</v>
      </c>
      <c r="C42" s="8" t="n">
        <v>2</v>
      </c>
      <c r="D42" s="7" t="s">
        <v>11</v>
      </c>
      <c r="E42" s="7" t="s">
        <v>14</v>
      </c>
      <c r="F42" s="9" t="n">
        <v>16168</v>
      </c>
      <c r="G42" s="9" t="n">
        <v>13624</v>
      </c>
    </row>
    <row r="43" customFormat="false" ht="15" hidden="false" customHeight="false" outlineLevel="0" collapsed="false">
      <c r="B43" s="7" t="s">
        <v>23</v>
      </c>
      <c r="C43" s="8" t="n">
        <v>2</v>
      </c>
      <c r="D43" s="7" t="s">
        <v>11</v>
      </c>
      <c r="E43" s="7" t="s">
        <v>15</v>
      </c>
      <c r="F43" s="9" t="n">
        <v>11485</v>
      </c>
      <c r="G43" s="9" t="n">
        <v>12646</v>
      </c>
    </row>
    <row r="44" customFormat="false" ht="15" hidden="false" customHeight="false" outlineLevel="0" collapsed="false">
      <c r="B44" s="7" t="s">
        <v>23</v>
      </c>
      <c r="C44" s="8" t="n">
        <v>2</v>
      </c>
      <c r="D44" s="7" t="s">
        <v>11</v>
      </c>
      <c r="E44" s="7" t="s">
        <v>16</v>
      </c>
      <c r="F44" s="9" t="n">
        <v>8742</v>
      </c>
      <c r="G44" s="9" t="n">
        <v>8602</v>
      </c>
    </row>
    <row r="45" customFormat="false" ht="15" hidden="false" customHeight="false" outlineLevel="0" collapsed="false">
      <c r="B45" s="7" t="s">
        <v>23</v>
      </c>
      <c r="C45" s="8" t="n">
        <v>2</v>
      </c>
      <c r="D45" s="7" t="s">
        <v>11</v>
      </c>
      <c r="E45" s="7" t="s">
        <v>17</v>
      </c>
      <c r="F45" s="9" t="n">
        <v>4120</v>
      </c>
      <c r="G45" s="9" t="n">
        <v>4753</v>
      </c>
    </row>
    <row r="46" customFormat="false" ht="15" hidden="false" customHeight="false" outlineLevel="0" collapsed="false">
      <c r="B46" s="7" t="s">
        <v>23</v>
      </c>
      <c r="C46" s="8" t="n">
        <v>2</v>
      </c>
      <c r="D46" s="7" t="s">
        <v>11</v>
      </c>
      <c r="E46" s="7" t="s">
        <v>18</v>
      </c>
      <c r="F46" s="9" t="n">
        <v>9300</v>
      </c>
      <c r="G46" s="9" t="n">
        <v>12438</v>
      </c>
    </row>
    <row r="47" customFormat="false" ht="15" hidden="false" customHeight="false" outlineLevel="0" collapsed="false">
      <c r="B47" s="7" t="s">
        <v>23</v>
      </c>
      <c r="C47" s="8" t="n">
        <v>2</v>
      </c>
      <c r="D47" s="7" t="s">
        <v>19</v>
      </c>
      <c r="E47" s="7" t="s">
        <v>12</v>
      </c>
      <c r="F47" s="9" t="n">
        <v>126759</v>
      </c>
      <c r="G47" s="9" t="n">
        <v>142881</v>
      </c>
    </row>
    <row r="48" customFormat="false" ht="15" hidden="false" customHeight="false" outlineLevel="0" collapsed="false">
      <c r="B48" s="7" t="s">
        <v>23</v>
      </c>
      <c r="C48" s="8" t="n">
        <v>2</v>
      </c>
      <c r="D48" s="7" t="s">
        <v>19</v>
      </c>
      <c r="E48" s="7" t="s">
        <v>13</v>
      </c>
      <c r="F48" s="9" t="n">
        <v>73267</v>
      </c>
      <c r="G48" s="9" t="n">
        <v>74119</v>
      </c>
    </row>
    <row r="49" customFormat="false" ht="15" hidden="false" customHeight="false" outlineLevel="0" collapsed="false">
      <c r="B49" s="7" t="s">
        <v>23</v>
      </c>
      <c r="C49" s="8" t="n">
        <v>2</v>
      </c>
      <c r="D49" s="7" t="s">
        <v>19</v>
      </c>
      <c r="E49" s="7" t="s">
        <v>14</v>
      </c>
      <c r="F49" s="9" t="n">
        <v>20160</v>
      </c>
      <c r="G49" s="9" t="n">
        <v>16848</v>
      </c>
    </row>
    <row r="50" customFormat="false" ht="15" hidden="false" customHeight="false" outlineLevel="0" collapsed="false">
      <c r="B50" s="7" t="s">
        <v>23</v>
      </c>
      <c r="C50" s="8" t="n">
        <v>2</v>
      </c>
      <c r="D50" s="7" t="s">
        <v>19</v>
      </c>
      <c r="E50" s="7" t="s">
        <v>15</v>
      </c>
      <c r="F50" s="9" t="n">
        <v>16483</v>
      </c>
      <c r="G50" s="9" t="n">
        <v>19631</v>
      </c>
    </row>
    <row r="51" customFormat="false" ht="15" hidden="false" customHeight="false" outlineLevel="0" collapsed="false">
      <c r="B51" s="7" t="s">
        <v>23</v>
      </c>
      <c r="C51" s="8" t="n">
        <v>2</v>
      </c>
      <c r="D51" s="7" t="s">
        <v>19</v>
      </c>
      <c r="E51" s="7" t="s">
        <v>16</v>
      </c>
      <c r="F51" s="9" t="n">
        <v>12975</v>
      </c>
      <c r="G51" s="9" t="n">
        <v>13076</v>
      </c>
    </row>
    <row r="52" customFormat="false" ht="15" hidden="false" customHeight="false" outlineLevel="0" collapsed="false">
      <c r="B52" s="7" t="s">
        <v>23</v>
      </c>
      <c r="C52" s="8" t="n">
        <v>2</v>
      </c>
      <c r="D52" s="7" t="s">
        <v>19</v>
      </c>
      <c r="E52" s="7" t="s">
        <v>17</v>
      </c>
      <c r="F52" s="9" t="n">
        <v>7185</v>
      </c>
      <c r="G52" s="9" t="n">
        <v>10088</v>
      </c>
    </row>
    <row r="53" customFormat="false" ht="15" hidden="false" customHeight="false" outlineLevel="0" collapsed="false">
      <c r="B53" s="7" t="s">
        <v>23</v>
      </c>
      <c r="C53" s="8" t="n">
        <v>2</v>
      </c>
      <c r="D53" s="7" t="s">
        <v>19</v>
      </c>
      <c r="E53" s="7" t="s">
        <v>18</v>
      </c>
      <c r="F53" s="9" t="n">
        <v>7996</v>
      </c>
      <c r="G53" s="9" t="n">
        <v>10181</v>
      </c>
    </row>
    <row r="54" customFormat="false" ht="15" hidden="false" customHeight="false" outlineLevel="0" collapsed="false">
      <c r="B54" s="7" t="s">
        <v>23</v>
      </c>
      <c r="C54" s="8" t="n">
        <v>2</v>
      </c>
      <c r="D54" s="7" t="s">
        <v>20</v>
      </c>
      <c r="E54" s="7" t="s">
        <v>12</v>
      </c>
      <c r="F54" s="9" t="n">
        <v>92466</v>
      </c>
      <c r="G54" s="9" t="n">
        <v>79284</v>
      </c>
    </row>
    <row r="55" customFormat="false" ht="15" hidden="false" customHeight="false" outlineLevel="0" collapsed="false">
      <c r="B55" s="7" t="s">
        <v>23</v>
      </c>
      <c r="C55" s="8" t="n">
        <v>2</v>
      </c>
      <c r="D55" s="7" t="s">
        <v>20</v>
      </c>
      <c r="E55" s="7" t="s">
        <v>13</v>
      </c>
      <c r="F55" s="9" t="n">
        <v>49615</v>
      </c>
      <c r="G55" s="9" t="n">
        <v>49426</v>
      </c>
    </row>
    <row r="56" customFormat="false" ht="15" hidden="false" customHeight="false" outlineLevel="0" collapsed="false">
      <c r="B56" s="7" t="s">
        <v>23</v>
      </c>
      <c r="C56" s="8" t="n">
        <v>2</v>
      </c>
      <c r="D56" s="7" t="s">
        <v>20</v>
      </c>
      <c r="E56" s="7" t="s">
        <v>14</v>
      </c>
      <c r="F56" s="9" t="n">
        <v>11703</v>
      </c>
      <c r="G56" s="9" t="n">
        <v>10116</v>
      </c>
    </row>
    <row r="57" customFormat="false" ht="15" hidden="false" customHeight="false" outlineLevel="0" collapsed="false">
      <c r="B57" s="7" t="s">
        <v>23</v>
      </c>
      <c r="C57" s="8" t="n">
        <v>2</v>
      </c>
      <c r="D57" s="7" t="s">
        <v>20</v>
      </c>
      <c r="E57" s="7" t="s">
        <v>15</v>
      </c>
      <c r="F57" s="9" t="n">
        <v>4933</v>
      </c>
      <c r="G57" s="9" t="n">
        <v>4206</v>
      </c>
    </row>
    <row r="58" customFormat="false" ht="15" hidden="false" customHeight="false" outlineLevel="0" collapsed="false">
      <c r="B58" s="7" t="s">
        <v>23</v>
      </c>
      <c r="C58" s="8" t="n">
        <v>2</v>
      </c>
      <c r="D58" s="7" t="s">
        <v>20</v>
      </c>
      <c r="E58" s="7" t="s">
        <v>16</v>
      </c>
      <c r="F58" s="9" t="n">
        <v>6459</v>
      </c>
      <c r="G58" s="9" t="n">
        <v>6219</v>
      </c>
    </row>
    <row r="59" customFormat="false" ht="15" hidden="false" customHeight="false" outlineLevel="0" collapsed="false">
      <c r="B59" s="7" t="s">
        <v>23</v>
      </c>
      <c r="C59" s="8" t="n">
        <v>2</v>
      </c>
      <c r="D59" s="7" t="s">
        <v>20</v>
      </c>
      <c r="E59" s="7" t="s">
        <v>17</v>
      </c>
      <c r="F59" s="9" t="n">
        <v>2712</v>
      </c>
      <c r="G59" s="9" t="n">
        <v>2543</v>
      </c>
    </row>
    <row r="60" customFormat="false" ht="15" hidden="false" customHeight="false" outlineLevel="0" collapsed="false">
      <c r="B60" s="7" t="s">
        <v>23</v>
      </c>
      <c r="C60" s="8" t="n">
        <v>2</v>
      </c>
      <c r="D60" s="7" t="s">
        <v>20</v>
      </c>
      <c r="E60" s="7" t="s">
        <v>18</v>
      </c>
      <c r="F60" s="9" t="n">
        <v>6360</v>
      </c>
      <c r="G60" s="9" t="n">
        <v>4861</v>
      </c>
    </row>
    <row r="61" customFormat="false" ht="15" hidden="false" customHeight="false" outlineLevel="0" collapsed="false">
      <c r="B61" s="7" t="s">
        <v>23</v>
      </c>
      <c r="C61" s="8" t="n">
        <v>2</v>
      </c>
      <c r="D61" s="7" t="s">
        <v>21</v>
      </c>
      <c r="E61" s="7" t="s">
        <v>12</v>
      </c>
      <c r="F61" s="9" t="n">
        <v>65662</v>
      </c>
      <c r="G61" s="9" t="n">
        <v>64515</v>
      </c>
    </row>
    <row r="62" customFormat="false" ht="15" hidden="false" customHeight="false" outlineLevel="0" collapsed="false">
      <c r="B62" s="7" t="s">
        <v>23</v>
      </c>
      <c r="C62" s="8" t="n">
        <v>2</v>
      </c>
      <c r="D62" s="7" t="s">
        <v>21</v>
      </c>
      <c r="E62" s="7" t="s">
        <v>13</v>
      </c>
      <c r="F62" s="9" t="n">
        <v>29462</v>
      </c>
      <c r="G62" s="9" t="n">
        <v>31372</v>
      </c>
    </row>
    <row r="63" customFormat="false" ht="15" hidden="false" customHeight="false" outlineLevel="0" collapsed="false">
      <c r="B63" s="7" t="s">
        <v>23</v>
      </c>
      <c r="C63" s="8" t="n">
        <v>2</v>
      </c>
      <c r="D63" s="7" t="s">
        <v>21</v>
      </c>
      <c r="E63" s="7" t="s">
        <v>14</v>
      </c>
      <c r="F63" s="9" t="n">
        <v>8826</v>
      </c>
      <c r="G63" s="9" t="n">
        <v>9150</v>
      </c>
    </row>
    <row r="64" customFormat="false" ht="15" hidden="false" customHeight="false" outlineLevel="0" collapsed="false">
      <c r="B64" s="7" t="s">
        <v>23</v>
      </c>
      <c r="C64" s="8" t="n">
        <v>2</v>
      </c>
      <c r="D64" s="7" t="s">
        <v>21</v>
      </c>
      <c r="E64" s="7" t="s">
        <v>15</v>
      </c>
      <c r="F64" s="9" t="n">
        <v>5704</v>
      </c>
      <c r="G64" s="9" t="n">
        <v>5104</v>
      </c>
    </row>
    <row r="65" customFormat="false" ht="15" hidden="false" customHeight="false" outlineLevel="0" collapsed="false">
      <c r="B65" s="7" t="s">
        <v>23</v>
      </c>
      <c r="C65" s="8" t="n">
        <v>2</v>
      </c>
      <c r="D65" s="7" t="s">
        <v>21</v>
      </c>
      <c r="E65" s="7" t="s">
        <v>16</v>
      </c>
      <c r="F65" s="9" t="n">
        <v>4620</v>
      </c>
      <c r="G65" s="9" t="n">
        <v>4844</v>
      </c>
    </row>
    <row r="66" customFormat="false" ht="15" hidden="false" customHeight="false" outlineLevel="0" collapsed="false">
      <c r="B66" s="7" t="s">
        <v>23</v>
      </c>
      <c r="C66" s="8" t="n">
        <v>2</v>
      </c>
      <c r="D66" s="7" t="s">
        <v>21</v>
      </c>
      <c r="E66" s="7" t="s">
        <v>17</v>
      </c>
      <c r="F66" s="9" t="n">
        <v>2877</v>
      </c>
      <c r="G66" s="9" t="n">
        <v>4236</v>
      </c>
    </row>
    <row r="67" customFormat="false" ht="15" hidden="false" customHeight="false" outlineLevel="0" collapsed="false">
      <c r="B67" s="7" t="s">
        <v>23</v>
      </c>
      <c r="C67" s="8" t="n">
        <v>2</v>
      </c>
      <c r="D67" s="7" t="s">
        <v>21</v>
      </c>
      <c r="E67" s="7" t="s">
        <v>18</v>
      </c>
      <c r="F67" s="9" t="n">
        <v>2934</v>
      </c>
      <c r="G67" s="9" t="n">
        <v>2408</v>
      </c>
    </row>
    <row r="68" customFormat="false" ht="15" hidden="false" customHeight="false" outlineLevel="0" collapsed="false">
      <c r="B68" s="7" t="s">
        <v>23</v>
      </c>
      <c r="C68" s="8" t="n">
        <v>2</v>
      </c>
      <c r="D68" s="7" t="s">
        <v>22</v>
      </c>
      <c r="E68" s="7" t="s">
        <v>12</v>
      </c>
      <c r="F68" s="9" t="n">
        <v>73238</v>
      </c>
      <c r="G68" s="9" t="n">
        <v>65908</v>
      </c>
    </row>
    <row r="69" customFormat="false" ht="15" hidden="false" customHeight="false" outlineLevel="0" collapsed="false">
      <c r="B69" s="7" t="s">
        <v>23</v>
      </c>
      <c r="C69" s="8" t="n">
        <v>2</v>
      </c>
      <c r="D69" s="7" t="s">
        <v>22</v>
      </c>
      <c r="E69" s="7" t="s">
        <v>13</v>
      </c>
      <c r="F69" s="9" t="n">
        <v>38116</v>
      </c>
      <c r="G69" s="9" t="n">
        <v>36269</v>
      </c>
    </row>
    <row r="70" customFormat="false" ht="15" hidden="false" customHeight="false" outlineLevel="0" collapsed="false">
      <c r="B70" s="7" t="s">
        <v>23</v>
      </c>
      <c r="C70" s="8" t="n">
        <v>2</v>
      </c>
      <c r="D70" s="7" t="s">
        <v>22</v>
      </c>
      <c r="E70" s="7" t="s">
        <v>14</v>
      </c>
      <c r="F70" s="9" t="n">
        <v>11846</v>
      </c>
      <c r="G70" s="9" t="n">
        <v>13315</v>
      </c>
    </row>
    <row r="71" customFormat="false" ht="15" hidden="false" customHeight="false" outlineLevel="0" collapsed="false">
      <c r="B71" s="7" t="s">
        <v>23</v>
      </c>
      <c r="C71" s="8" t="n">
        <v>2</v>
      </c>
      <c r="D71" s="7" t="s">
        <v>22</v>
      </c>
      <c r="E71" s="7" t="s">
        <v>15</v>
      </c>
      <c r="F71" s="9" t="n">
        <v>5721</v>
      </c>
      <c r="G71" s="9" t="n">
        <v>5133</v>
      </c>
    </row>
    <row r="72" customFormat="false" ht="15" hidden="false" customHeight="false" outlineLevel="0" collapsed="false">
      <c r="B72" s="7" t="s">
        <v>23</v>
      </c>
      <c r="C72" s="8" t="n">
        <v>2</v>
      </c>
      <c r="D72" s="7" t="s">
        <v>22</v>
      </c>
      <c r="E72" s="7" t="s">
        <v>16</v>
      </c>
      <c r="F72" s="9" t="n">
        <v>5276</v>
      </c>
      <c r="G72" s="9" t="n">
        <v>5233</v>
      </c>
    </row>
    <row r="73" customFormat="false" ht="15" hidden="false" customHeight="false" outlineLevel="0" collapsed="false">
      <c r="B73" s="7" t="s">
        <v>23</v>
      </c>
      <c r="C73" s="8" t="n">
        <v>2</v>
      </c>
      <c r="D73" s="7" t="s">
        <v>22</v>
      </c>
      <c r="E73" s="7" t="s">
        <v>17</v>
      </c>
      <c r="F73" s="9" t="n">
        <v>2809</v>
      </c>
      <c r="G73" s="9" t="n">
        <v>3288</v>
      </c>
    </row>
    <row r="74" customFormat="false" ht="15" hidden="false" customHeight="false" outlineLevel="0" collapsed="false">
      <c r="B74" s="7" t="s">
        <v>23</v>
      </c>
      <c r="C74" s="8" t="n">
        <v>2</v>
      </c>
      <c r="D74" s="7" t="s">
        <v>22</v>
      </c>
      <c r="E74" s="7" t="s">
        <v>18</v>
      </c>
      <c r="F74" s="9" t="n">
        <v>4488</v>
      </c>
      <c r="G74" s="9" t="n">
        <v>6563</v>
      </c>
    </row>
    <row r="75" customFormat="false" ht="15" hidden="false" customHeight="false" outlineLevel="0" collapsed="false">
      <c r="B75" s="7" t="s">
        <v>24</v>
      </c>
      <c r="C75" s="8" t="n">
        <v>3</v>
      </c>
      <c r="D75" s="7" t="s">
        <v>11</v>
      </c>
      <c r="E75" s="7" t="s">
        <v>12</v>
      </c>
      <c r="F75" s="9" t="n">
        <v>136539</v>
      </c>
      <c r="G75" s="9" t="n">
        <v>158873</v>
      </c>
    </row>
    <row r="76" customFormat="false" ht="15" hidden="false" customHeight="false" outlineLevel="0" collapsed="false">
      <c r="B76" s="7" t="s">
        <v>24</v>
      </c>
      <c r="C76" s="8" t="n">
        <v>3</v>
      </c>
      <c r="D76" s="7" t="s">
        <v>11</v>
      </c>
      <c r="E76" s="7" t="s">
        <v>13</v>
      </c>
      <c r="F76" s="9" t="n">
        <v>50122</v>
      </c>
      <c r="G76" s="9" t="n">
        <v>50591</v>
      </c>
    </row>
    <row r="77" customFormat="false" ht="15" hidden="false" customHeight="false" outlineLevel="0" collapsed="false">
      <c r="B77" s="7" t="s">
        <v>24</v>
      </c>
      <c r="C77" s="8" t="n">
        <v>3</v>
      </c>
      <c r="D77" s="7" t="s">
        <v>11</v>
      </c>
      <c r="E77" s="7" t="s">
        <v>14</v>
      </c>
      <c r="F77" s="9" t="n">
        <v>17266</v>
      </c>
      <c r="G77" s="9" t="n">
        <v>22852</v>
      </c>
    </row>
    <row r="78" customFormat="false" ht="15" hidden="false" customHeight="false" outlineLevel="0" collapsed="false">
      <c r="B78" s="7" t="s">
        <v>24</v>
      </c>
      <c r="C78" s="8" t="n">
        <v>3</v>
      </c>
      <c r="D78" s="7" t="s">
        <v>11</v>
      </c>
      <c r="E78" s="7" t="s">
        <v>15</v>
      </c>
      <c r="F78" s="9" t="n">
        <v>12690</v>
      </c>
      <c r="G78" s="9" t="n">
        <v>15970</v>
      </c>
    </row>
    <row r="79" customFormat="false" ht="15" hidden="false" customHeight="false" outlineLevel="0" collapsed="false">
      <c r="B79" s="7" t="s">
        <v>24</v>
      </c>
      <c r="C79" s="8" t="n">
        <v>3</v>
      </c>
      <c r="D79" s="7" t="s">
        <v>11</v>
      </c>
      <c r="E79" s="7" t="s">
        <v>16</v>
      </c>
      <c r="F79" s="9" t="n">
        <v>9128</v>
      </c>
      <c r="G79" s="9" t="n">
        <v>9034</v>
      </c>
    </row>
    <row r="80" customFormat="false" ht="15" hidden="false" customHeight="false" outlineLevel="0" collapsed="false">
      <c r="B80" s="7" t="s">
        <v>24</v>
      </c>
      <c r="C80" s="8" t="n">
        <v>3</v>
      </c>
      <c r="D80" s="7" t="s">
        <v>11</v>
      </c>
      <c r="E80" s="7" t="s">
        <v>17</v>
      </c>
      <c r="F80" s="9" t="n">
        <v>4336</v>
      </c>
      <c r="G80" s="9" t="n">
        <v>2661</v>
      </c>
    </row>
    <row r="81" customFormat="false" ht="15" hidden="false" customHeight="false" outlineLevel="0" collapsed="false">
      <c r="B81" s="7" t="s">
        <v>24</v>
      </c>
      <c r="C81" s="8" t="n">
        <v>3</v>
      </c>
      <c r="D81" s="7" t="s">
        <v>11</v>
      </c>
      <c r="E81" s="7" t="s">
        <v>18</v>
      </c>
      <c r="F81" s="9" t="n">
        <v>7536</v>
      </c>
      <c r="G81" s="9" t="n">
        <v>5650</v>
      </c>
    </row>
    <row r="82" customFormat="false" ht="15" hidden="false" customHeight="false" outlineLevel="0" collapsed="false">
      <c r="B82" s="7" t="s">
        <v>24</v>
      </c>
      <c r="C82" s="8" t="n">
        <v>3</v>
      </c>
      <c r="D82" s="7" t="s">
        <v>19</v>
      </c>
      <c r="E82" s="7" t="s">
        <v>12</v>
      </c>
      <c r="F82" s="9" t="n">
        <v>126619</v>
      </c>
      <c r="G82" s="9" t="n">
        <v>148769</v>
      </c>
    </row>
    <row r="83" customFormat="false" ht="15" hidden="false" customHeight="false" outlineLevel="0" collapsed="false">
      <c r="B83" s="7" t="s">
        <v>24</v>
      </c>
      <c r="C83" s="8" t="n">
        <v>3</v>
      </c>
      <c r="D83" s="7" t="s">
        <v>19</v>
      </c>
      <c r="E83" s="7" t="s">
        <v>13</v>
      </c>
      <c r="F83" s="9" t="n">
        <v>81657</v>
      </c>
      <c r="G83" s="9" t="n">
        <v>79297</v>
      </c>
    </row>
    <row r="84" customFormat="false" ht="15" hidden="false" customHeight="false" outlineLevel="0" collapsed="false">
      <c r="B84" s="7" t="s">
        <v>24</v>
      </c>
      <c r="C84" s="8" t="n">
        <v>3</v>
      </c>
      <c r="D84" s="7" t="s">
        <v>19</v>
      </c>
      <c r="E84" s="7" t="s">
        <v>14</v>
      </c>
      <c r="F84" s="9" t="n">
        <v>16177</v>
      </c>
      <c r="G84" s="9" t="n">
        <v>18286</v>
      </c>
    </row>
    <row r="85" customFormat="false" ht="15" hidden="false" customHeight="false" outlineLevel="0" collapsed="false">
      <c r="B85" s="7" t="s">
        <v>24</v>
      </c>
      <c r="C85" s="8" t="n">
        <v>3</v>
      </c>
      <c r="D85" s="7" t="s">
        <v>19</v>
      </c>
      <c r="E85" s="7" t="s">
        <v>15</v>
      </c>
      <c r="F85" s="9" t="n">
        <v>8757</v>
      </c>
      <c r="G85" s="9" t="n">
        <v>6131</v>
      </c>
    </row>
    <row r="86" customFormat="false" ht="15" hidden="false" customHeight="false" outlineLevel="0" collapsed="false">
      <c r="B86" s="7" t="s">
        <v>24</v>
      </c>
      <c r="C86" s="8" t="n">
        <v>3</v>
      </c>
      <c r="D86" s="7" t="s">
        <v>19</v>
      </c>
      <c r="E86" s="7" t="s">
        <v>16</v>
      </c>
      <c r="F86" s="9" t="n">
        <v>9928</v>
      </c>
      <c r="G86" s="9" t="n">
        <v>9964</v>
      </c>
    </row>
    <row r="87" customFormat="false" ht="15" hidden="false" customHeight="false" outlineLevel="0" collapsed="false">
      <c r="B87" s="7" t="s">
        <v>24</v>
      </c>
      <c r="C87" s="8" t="n">
        <v>3</v>
      </c>
      <c r="D87" s="7" t="s">
        <v>19</v>
      </c>
      <c r="E87" s="7" t="s">
        <v>17</v>
      </c>
      <c r="F87" s="9" t="n">
        <v>8829</v>
      </c>
      <c r="G87" s="9" t="n">
        <v>7945</v>
      </c>
    </row>
    <row r="88" customFormat="false" ht="15" hidden="false" customHeight="false" outlineLevel="0" collapsed="false">
      <c r="B88" s="7" t="s">
        <v>24</v>
      </c>
      <c r="C88" s="8" t="n">
        <v>3</v>
      </c>
      <c r="D88" s="7" t="s">
        <v>19</v>
      </c>
      <c r="E88" s="7" t="s">
        <v>18</v>
      </c>
      <c r="F88" s="9" t="n">
        <v>4812</v>
      </c>
      <c r="G88" s="9" t="n">
        <v>3639</v>
      </c>
    </row>
    <row r="89" customFormat="false" ht="15" hidden="false" customHeight="false" outlineLevel="0" collapsed="false">
      <c r="B89" s="7" t="s">
        <v>24</v>
      </c>
      <c r="C89" s="8" t="n">
        <v>3</v>
      </c>
      <c r="D89" s="7" t="s">
        <v>20</v>
      </c>
      <c r="E89" s="7" t="s">
        <v>12</v>
      </c>
      <c r="F89" s="9" t="n">
        <v>84265</v>
      </c>
      <c r="G89" s="9" t="n">
        <v>88700</v>
      </c>
    </row>
    <row r="90" customFormat="false" ht="15" hidden="false" customHeight="false" outlineLevel="0" collapsed="false">
      <c r="B90" s="7" t="s">
        <v>24</v>
      </c>
      <c r="C90" s="8" t="n">
        <v>3</v>
      </c>
      <c r="D90" s="7" t="s">
        <v>20</v>
      </c>
      <c r="E90" s="7" t="s">
        <v>13</v>
      </c>
      <c r="F90" s="9" t="n">
        <v>40380</v>
      </c>
      <c r="G90" s="9" t="n">
        <v>41691</v>
      </c>
    </row>
    <row r="91" customFormat="false" ht="15" hidden="false" customHeight="false" outlineLevel="0" collapsed="false">
      <c r="B91" s="7" t="s">
        <v>24</v>
      </c>
      <c r="C91" s="8" t="n">
        <v>3</v>
      </c>
      <c r="D91" s="7" t="s">
        <v>20</v>
      </c>
      <c r="E91" s="7" t="s">
        <v>14</v>
      </c>
      <c r="F91" s="9" t="n">
        <v>9760</v>
      </c>
      <c r="G91" s="9" t="n">
        <v>11041</v>
      </c>
    </row>
    <row r="92" customFormat="false" ht="15" hidden="false" customHeight="false" outlineLevel="0" collapsed="false">
      <c r="B92" s="7" t="s">
        <v>24</v>
      </c>
      <c r="C92" s="8" t="n">
        <v>3</v>
      </c>
      <c r="D92" s="7" t="s">
        <v>20</v>
      </c>
      <c r="E92" s="7" t="s">
        <v>15</v>
      </c>
      <c r="F92" s="9" t="n">
        <v>7995</v>
      </c>
      <c r="G92" s="9" t="n">
        <v>6283</v>
      </c>
    </row>
    <row r="93" customFormat="false" ht="15" hidden="false" customHeight="false" outlineLevel="0" collapsed="false">
      <c r="B93" s="7" t="s">
        <v>24</v>
      </c>
      <c r="C93" s="8" t="n">
        <v>3</v>
      </c>
      <c r="D93" s="7" t="s">
        <v>20</v>
      </c>
      <c r="E93" s="7" t="s">
        <v>16</v>
      </c>
      <c r="F93" s="9" t="n">
        <v>7199</v>
      </c>
      <c r="G93" s="9" t="n">
        <v>7553</v>
      </c>
    </row>
    <row r="94" customFormat="false" ht="15" hidden="false" customHeight="false" outlineLevel="0" collapsed="false">
      <c r="B94" s="7" t="s">
        <v>24</v>
      </c>
      <c r="C94" s="8" t="n">
        <v>3</v>
      </c>
      <c r="D94" s="7" t="s">
        <v>20</v>
      </c>
      <c r="E94" s="7" t="s">
        <v>17</v>
      </c>
      <c r="F94" s="9" t="n">
        <v>3517</v>
      </c>
      <c r="G94" s="9" t="n">
        <v>3617</v>
      </c>
    </row>
    <row r="95" customFormat="false" ht="15" hidden="false" customHeight="false" outlineLevel="0" collapsed="false">
      <c r="B95" s="7" t="s">
        <v>24</v>
      </c>
      <c r="C95" s="8" t="n">
        <v>3</v>
      </c>
      <c r="D95" s="7" t="s">
        <v>20</v>
      </c>
      <c r="E95" s="7" t="s">
        <v>18</v>
      </c>
      <c r="F95" s="9" t="n">
        <v>4998</v>
      </c>
      <c r="G95" s="9" t="n">
        <v>3842</v>
      </c>
    </row>
    <row r="96" customFormat="false" ht="15" hidden="false" customHeight="false" outlineLevel="0" collapsed="false">
      <c r="B96" s="7" t="s">
        <v>24</v>
      </c>
      <c r="C96" s="8" t="n">
        <v>3</v>
      </c>
      <c r="D96" s="7" t="s">
        <v>21</v>
      </c>
      <c r="E96" s="7" t="s">
        <v>12</v>
      </c>
      <c r="F96" s="9" t="n">
        <v>52017</v>
      </c>
      <c r="G96" s="9" t="n">
        <v>57083</v>
      </c>
    </row>
    <row r="97" customFormat="false" ht="15" hidden="false" customHeight="false" outlineLevel="0" collapsed="false">
      <c r="B97" s="7" t="s">
        <v>24</v>
      </c>
      <c r="C97" s="8" t="n">
        <v>3</v>
      </c>
      <c r="D97" s="7" t="s">
        <v>21</v>
      </c>
      <c r="E97" s="7" t="s">
        <v>13</v>
      </c>
      <c r="F97" s="9" t="n">
        <v>29205</v>
      </c>
      <c r="G97" s="9" t="n">
        <v>29561</v>
      </c>
    </row>
    <row r="98" customFormat="false" ht="15" hidden="false" customHeight="false" outlineLevel="0" collapsed="false">
      <c r="B98" s="7" t="s">
        <v>24</v>
      </c>
      <c r="C98" s="8" t="n">
        <v>3</v>
      </c>
      <c r="D98" s="7" t="s">
        <v>21</v>
      </c>
      <c r="E98" s="7" t="s">
        <v>14</v>
      </c>
      <c r="F98" s="9" t="n">
        <v>8201</v>
      </c>
      <c r="G98" s="9" t="n">
        <v>7288</v>
      </c>
    </row>
    <row r="99" customFormat="false" ht="15" hidden="false" customHeight="false" outlineLevel="0" collapsed="false">
      <c r="B99" s="7" t="s">
        <v>24</v>
      </c>
      <c r="C99" s="8" t="n">
        <v>3</v>
      </c>
      <c r="D99" s="7" t="s">
        <v>21</v>
      </c>
      <c r="E99" s="7" t="s">
        <v>15</v>
      </c>
      <c r="F99" s="9" t="n">
        <v>3113</v>
      </c>
      <c r="G99" s="9" t="n">
        <v>2626</v>
      </c>
    </row>
    <row r="100" customFormat="false" ht="15" hidden="false" customHeight="false" outlineLevel="0" collapsed="false">
      <c r="B100" s="7" t="s">
        <v>24</v>
      </c>
      <c r="C100" s="8" t="n">
        <v>3</v>
      </c>
      <c r="D100" s="7" t="s">
        <v>21</v>
      </c>
      <c r="E100" s="7" t="s">
        <v>16</v>
      </c>
      <c r="F100" s="9" t="n">
        <v>4897</v>
      </c>
      <c r="G100" s="9" t="n">
        <v>4829</v>
      </c>
    </row>
    <row r="101" customFormat="false" ht="15" hidden="false" customHeight="false" outlineLevel="0" collapsed="false">
      <c r="B101" s="7" t="s">
        <v>24</v>
      </c>
      <c r="C101" s="8" t="n">
        <v>3</v>
      </c>
      <c r="D101" s="7" t="s">
        <v>21</v>
      </c>
      <c r="E101" s="7" t="s">
        <v>17</v>
      </c>
      <c r="F101" s="9" t="n">
        <v>2895</v>
      </c>
      <c r="G101" s="9" t="n">
        <v>3177</v>
      </c>
    </row>
    <row r="102" customFormat="false" ht="15" hidden="false" customHeight="false" outlineLevel="0" collapsed="false">
      <c r="B102" s="7" t="s">
        <v>24</v>
      </c>
      <c r="C102" s="8" t="n">
        <v>3</v>
      </c>
      <c r="D102" s="7" t="s">
        <v>21</v>
      </c>
      <c r="E102" s="7" t="s">
        <v>18</v>
      </c>
      <c r="F102" s="9" t="n">
        <v>1932</v>
      </c>
      <c r="G102" s="9" t="n">
        <v>2524</v>
      </c>
    </row>
    <row r="103" customFormat="false" ht="15" hidden="false" customHeight="false" outlineLevel="0" collapsed="false">
      <c r="B103" s="7" t="s">
        <v>24</v>
      </c>
      <c r="C103" s="8" t="n">
        <v>3</v>
      </c>
      <c r="D103" s="7" t="s">
        <v>22</v>
      </c>
      <c r="E103" s="7" t="s">
        <v>12</v>
      </c>
      <c r="F103" s="9" t="n">
        <v>79628</v>
      </c>
      <c r="G103" s="9" t="n">
        <v>93396</v>
      </c>
    </row>
    <row r="104" customFormat="false" ht="15" hidden="false" customHeight="false" outlineLevel="0" collapsed="false">
      <c r="B104" s="7" t="s">
        <v>24</v>
      </c>
      <c r="C104" s="8" t="n">
        <v>3</v>
      </c>
      <c r="D104" s="7" t="s">
        <v>22</v>
      </c>
      <c r="E104" s="7" t="s">
        <v>13</v>
      </c>
      <c r="F104" s="9" t="n">
        <v>34385</v>
      </c>
      <c r="G104" s="9" t="n">
        <v>35777</v>
      </c>
    </row>
    <row r="105" customFormat="false" ht="15" hidden="false" customHeight="false" outlineLevel="0" collapsed="false">
      <c r="B105" s="7" t="s">
        <v>24</v>
      </c>
      <c r="C105" s="8" t="n">
        <v>3</v>
      </c>
      <c r="D105" s="7" t="s">
        <v>22</v>
      </c>
      <c r="E105" s="7" t="s">
        <v>14</v>
      </c>
      <c r="F105" s="9" t="n">
        <v>8111</v>
      </c>
      <c r="G105" s="9" t="n">
        <v>8801</v>
      </c>
    </row>
    <row r="106" customFormat="false" ht="15" hidden="false" customHeight="false" outlineLevel="0" collapsed="false">
      <c r="B106" s="7" t="s">
        <v>24</v>
      </c>
      <c r="C106" s="8" t="n">
        <v>3</v>
      </c>
      <c r="D106" s="7" t="s">
        <v>22</v>
      </c>
      <c r="E106" s="7" t="s">
        <v>15</v>
      </c>
      <c r="F106" s="9" t="n">
        <v>5094</v>
      </c>
      <c r="G106" s="9" t="n">
        <v>4834</v>
      </c>
    </row>
    <row r="107" customFormat="false" ht="15" hidden="false" customHeight="false" outlineLevel="0" collapsed="false">
      <c r="B107" s="7" t="s">
        <v>24</v>
      </c>
      <c r="C107" s="8" t="n">
        <v>3</v>
      </c>
      <c r="D107" s="7" t="s">
        <v>22</v>
      </c>
      <c r="E107" s="7" t="s">
        <v>16</v>
      </c>
      <c r="F107" s="9" t="n">
        <v>5529</v>
      </c>
      <c r="G107" s="9" t="n">
        <v>5547</v>
      </c>
    </row>
    <row r="108" customFormat="false" ht="15" hidden="false" customHeight="false" outlineLevel="0" collapsed="false">
      <c r="B108" s="7" t="s">
        <v>24</v>
      </c>
      <c r="C108" s="8" t="n">
        <v>3</v>
      </c>
      <c r="D108" s="7" t="s">
        <v>22</v>
      </c>
      <c r="E108" s="7" t="s">
        <v>17</v>
      </c>
      <c r="F108" s="9" t="n">
        <v>4152</v>
      </c>
      <c r="G108" s="9" t="n">
        <v>4371</v>
      </c>
    </row>
    <row r="109" customFormat="false" ht="15" hidden="false" customHeight="false" outlineLevel="0" collapsed="false">
      <c r="B109" s="7" t="s">
        <v>24</v>
      </c>
      <c r="C109" s="8" t="n">
        <v>3</v>
      </c>
      <c r="D109" s="7" t="s">
        <v>22</v>
      </c>
      <c r="E109" s="7" t="s">
        <v>18</v>
      </c>
      <c r="F109" s="9" t="n">
        <v>3861</v>
      </c>
      <c r="G109" s="9" t="n">
        <v>4596</v>
      </c>
    </row>
    <row r="110" customFormat="false" ht="15" hidden="false" customHeight="false" outlineLevel="0" collapsed="false">
      <c r="B110" s="7" t="s">
        <v>25</v>
      </c>
      <c r="C110" s="8" t="n">
        <v>4</v>
      </c>
      <c r="D110" s="7" t="s">
        <v>11</v>
      </c>
      <c r="E110" s="7" t="s">
        <v>12</v>
      </c>
      <c r="F110" s="9" t="n">
        <v>111346</v>
      </c>
      <c r="G110" s="9" t="n">
        <v>124262</v>
      </c>
    </row>
    <row r="111" customFormat="false" ht="15" hidden="false" customHeight="false" outlineLevel="0" collapsed="false">
      <c r="B111" s="7" t="s">
        <v>25</v>
      </c>
      <c r="C111" s="8" t="n">
        <v>4</v>
      </c>
      <c r="D111" s="7" t="s">
        <v>11</v>
      </c>
      <c r="E111" s="7" t="s">
        <v>13</v>
      </c>
      <c r="F111" s="9" t="n">
        <v>63754</v>
      </c>
      <c r="G111" s="9" t="n">
        <v>66698</v>
      </c>
    </row>
    <row r="112" customFormat="false" ht="15" hidden="false" customHeight="false" outlineLevel="0" collapsed="false">
      <c r="B112" s="7" t="s">
        <v>25</v>
      </c>
      <c r="C112" s="8" t="n">
        <v>4</v>
      </c>
      <c r="D112" s="7" t="s">
        <v>11</v>
      </c>
      <c r="E112" s="7" t="s">
        <v>14</v>
      </c>
      <c r="F112" s="9" t="n">
        <v>11828</v>
      </c>
      <c r="G112" s="9" t="n">
        <v>10762</v>
      </c>
    </row>
    <row r="113" customFormat="false" ht="15" hidden="false" customHeight="false" outlineLevel="0" collapsed="false">
      <c r="B113" s="7" t="s">
        <v>25</v>
      </c>
      <c r="C113" s="8" t="n">
        <v>4</v>
      </c>
      <c r="D113" s="7" t="s">
        <v>11</v>
      </c>
      <c r="E113" s="7" t="s">
        <v>15</v>
      </c>
      <c r="F113" s="9" t="n">
        <v>10843</v>
      </c>
      <c r="G113" s="9" t="n">
        <v>10288</v>
      </c>
    </row>
    <row r="114" customFormat="false" ht="15" hidden="false" customHeight="false" outlineLevel="0" collapsed="false">
      <c r="B114" s="7" t="s">
        <v>25</v>
      </c>
      <c r="C114" s="8" t="n">
        <v>4</v>
      </c>
      <c r="D114" s="7" t="s">
        <v>11</v>
      </c>
      <c r="E114" s="7" t="s">
        <v>16</v>
      </c>
      <c r="F114" s="9" t="n">
        <v>7341</v>
      </c>
      <c r="G114" s="9" t="n">
        <v>7700</v>
      </c>
    </row>
    <row r="115" customFormat="false" ht="15" hidden="false" customHeight="false" outlineLevel="0" collapsed="false">
      <c r="B115" s="7" t="s">
        <v>25</v>
      </c>
      <c r="C115" s="8" t="n">
        <v>4</v>
      </c>
      <c r="D115" s="7" t="s">
        <v>11</v>
      </c>
      <c r="E115" s="7" t="s">
        <v>17</v>
      </c>
      <c r="F115" s="9" t="n">
        <v>6283</v>
      </c>
      <c r="G115" s="9" t="n">
        <v>5072</v>
      </c>
    </row>
    <row r="116" customFormat="false" ht="15" hidden="false" customHeight="false" outlineLevel="0" collapsed="false">
      <c r="B116" s="7" t="s">
        <v>25</v>
      </c>
      <c r="C116" s="8" t="n">
        <v>4</v>
      </c>
      <c r="D116" s="7" t="s">
        <v>11</v>
      </c>
      <c r="E116" s="7" t="s">
        <v>18</v>
      </c>
      <c r="F116" s="9" t="n">
        <v>6147</v>
      </c>
      <c r="G116" s="9" t="n">
        <v>5255</v>
      </c>
    </row>
    <row r="117" customFormat="false" ht="15" hidden="false" customHeight="false" outlineLevel="0" collapsed="false">
      <c r="B117" s="7" t="s">
        <v>25</v>
      </c>
      <c r="C117" s="8" t="n">
        <v>4</v>
      </c>
      <c r="D117" s="7" t="s">
        <v>19</v>
      </c>
      <c r="E117" s="7" t="s">
        <v>12</v>
      </c>
      <c r="F117" s="9" t="n">
        <v>179487</v>
      </c>
      <c r="G117" s="9" t="n">
        <v>209219</v>
      </c>
    </row>
    <row r="118" customFormat="false" ht="15" hidden="false" customHeight="false" outlineLevel="0" collapsed="false">
      <c r="B118" s="7" t="s">
        <v>25</v>
      </c>
      <c r="C118" s="8" t="n">
        <v>4</v>
      </c>
      <c r="D118" s="7" t="s">
        <v>19</v>
      </c>
      <c r="E118" s="7" t="s">
        <v>13</v>
      </c>
      <c r="F118" s="9" t="n">
        <v>81981</v>
      </c>
      <c r="G118" s="9" t="n">
        <v>86499</v>
      </c>
    </row>
    <row r="119" customFormat="false" ht="15" hidden="false" customHeight="false" outlineLevel="0" collapsed="false">
      <c r="B119" s="7" t="s">
        <v>25</v>
      </c>
      <c r="C119" s="8" t="n">
        <v>4</v>
      </c>
      <c r="D119" s="7" t="s">
        <v>19</v>
      </c>
      <c r="E119" s="7" t="s">
        <v>14</v>
      </c>
      <c r="F119" s="9" t="n">
        <v>20884</v>
      </c>
      <c r="G119" s="9" t="n">
        <v>28056</v>
      </c>
    </row>
    <row r="120" customFormat="false" ht="15" hidden="false" customHeight="false" outlineLevel="0" collapsed="false">
      <c r="B120" s="7" t="s">
        <v>25</v>
      </c>
      <c r="C120" s="8" t="n">
        <v>4</v>
      </c>
      <c r="D120" s="7" t="s">
        <v>19</v>
      </c>
      <c r="E120" s="7" t="s">
        <v>15</v>
      </c>
      <c r="F120" s="9" t="n">
        <v>11980</v>
      </c>
      <c r="G120" s="9" t="n">
        <v>9061</v>
      </c>
    </row>
    <row r="121" customFormat="false" ht="15" hidden="false" customHeight="false" outlineLevel="0" collapsed="false">
      <c r="B121" s="7" t="s">
        <v>25</v>
      </c>
      <c r="C121" s="8" t="n">
        <v>4</v>
      </c>
      <c r="D121" s="7" t="s">
        <v>19</v>
      </c>
      <c r="E121" s="7" t="s">
        <v>16</v>
      </c>
      <c r="F121" s="9" t="n">
        <v>9627</v>
      </c>
      <c r="G121" s="9" t="n">
        <v>9364</v>
      </c>
    </row>
    <row r="122" customFormat="false" ht="15" hidden="false" customHeight="false" outlineLevel="0" collapsed="false">
      <c r="B122" s="7" t="s">
        <v>25</v>
      </c>
      <c r="C122" s="8" t="n">
        <v>4</v>
      </c>
      <c r="D122" s="7" t="s">
        <v>19</v>
      </c>
      <c r="E122" s="7" t="s">
        <v>17</v>
      </c>
      <c r="F122" s="9" t="n">
        <v>4207</v>
      </c>
      <c r="G122" s="9" t="n">
        <v>3666</v>
      </c>
    </row>
    <row r="123" customFormat="false" ht="15" hidden="false" customHeight="false" outlineLevel="0" collapsed="false">
      <c r="B123" s="7" t="s">
        <v>25</v>
      </c>
      <c r="C123" s="8" t="n">
        <v>4</v>
      </c>
      <c r="D123" s="7" t="s">
        <v>19</v>
      </c>
      <c r="E123" s="7" t="s">
        <v>18</v>
      </c>
      <c r="F123" s="9" t="n">
        <v>10429</v>
      </c>
      <c r="G123" s="9" t="n">
        <v>12507</v>
      </c>
    </row>
    <row r="124" customFormat="false" ht="15" hidden="false" customHeight="false" outlineLevel="0" collapsed="false">
      <c r="B124" s="7" t="s">
        <v>25</v>
      </c>
      <c r="C124" s="8" t="n">
        <v>4</v>
      </c>
      <c r="D124" s="7" t="s">
        <v>20</v>
      </c>
      <c r="E124" s="7" t="s">
        <v>12</v>
      </c>
      <c r="F124" s="9" t="n">
        <v>107994</v>
      </c>
      <c r="G124" s="9" t="n">
        <v>121746</v>
      </c>
    </row>
    <row r="125" customFormat="false" ht="15" hidden="false" customHeight="false" outlineLevel="0" collapsed="false">
      <c r="B125" s="7" t="s">
        <v>25</v>
      </c>
      <c r="C125" s="8" t="n">
        <v>4</v>
      </c>
      <c r="D125" s="7" t="s">
        <v>20</v>
      </c>
      <c r="E125" s="7" t="s">
        <v>13</v>
      </c>
      <c r="F125" s="9" t="n">
        <v>50139</v>
      </c>
      <c r="G125" s="9" t="n">
        <v>53558</v>
      </c>
    </row>
    <row r="126" customFormat="false" ht="15" hidden="false" customHeight="false" outlineLevel="0" collapsed="false">
      <c r="B126" s="7" t="s">
        <v>25</v>
      </c>
      <c r="C126" s="8" t="n">
        <v>4</v>
      </c>
      <c r="D126" s="7" t="s">
        <v>20</v>
      </c>
      <c r="E126" s="7" t="s">
        <v>14</v>
      </c>
      <c r="F126" s="9" t="n">
        <v>9736</v>
      </c>
      <c r="G126" s="9" t="n">
        <v>12070</v>
      </c>
    </row>
    <row r="127" customFormat="false" ht="15" hidden="false" customHeight="false" outlineLevel="0" collapsed="false">
      <c r="B127" s="7" t="s">
        <v>25</v>
      </c>
      <c r="C127" s="8" t="n">
        <v>4</v>
      </c>
      <c r="D127" s="7" t="s">
        <v>20</v>
      </c>
      <c r="E127" s="7" t="s">
        <v>15</v>
      </c>
      <c r="F127" s="9" t="n">
        <v>5124</v>
      </c>
      <c r="G127" s="9" t="n">
        <v>6580</v>
      </c>
    </row>
    <row r="128" customFormat="false" ht="15" hidden="false" customHeight="false" outlineLevel="0" collapsed="false">
      <c r="B128" s="7" t="s">
        <v>25</v>
      </c>
      <c r="C128" s="8" t="n">
        <v>4</v>
      </c>
      <c r="D128" s="7" t="s">
        <v>20</v>
      </c>
      <c r="E128" s="7" t="s">
        <v>16</v>
      </c>
      <c r="F128" s="9" t="n">
        <v>5841</v>
      </c>
      <c r="G128" s="9" t="n">
        <v>6080</v>
      </c>
    </row>
    <row r="129" customFormat="false" ht="15" hidden="false" customHeight="false" outlineLevel="0" collapsed="false">
      <c r="B129" s="7" t="s">
        <v>25</v>
      </c>
      <c r="C129" s="8" t="n">
        <v>4</v>
      </c>
      <c r="D129" s="7" t="s">
        <v>20</v>
      </c>
      <c r="E129" s="7" t="s">
        <v>17</v>
      </c>
      <c r="F129" s="9" t="n">
        <v>4683</v>
      </c>
      <c r="G129" s="9" t="n">
        <v>6006</v>
      </c>
    </row>
    <row r="130" customFormat="false" ht="15" hidden="false" customHeight="false" outlineLevel="0" collapsed="false">
      <c r="B130" s="7" t="s">
        <v>25</v>
      </c>
      <c r="C130" s="8" t="n">
        <v>4</v>
      </c>
      <c r="D130" s="7" t="s">
        <v>20</v>
      </c>
      <c r="E130" s="7" t="s">
        <v>18</v>
      </c>
      <c r="F130" s="9" t="n">
        <v>4168</v>
      </c>
      <c r="G130" s="9" t="n">
        <v>4511</v>
      </c>
    </row>
    <row r="131" customFormat="false" ht="15" hidden="false" customHeight="false" outlineLevel="0" collapsed="false">
      <c r="B131" s="7" t="s">
        <v>25</v>
      </c>
      <c r="C131" s="8" t="n">
        <v>4</v>
      </c>
      <c r="D131" s="7" t="s">
        <v>21</v>
      </c>
      <c r="E131" s="7" t="s">
        <v>12</v>
      </c>
      <c r="F131" s="9" t="n">
        <v>55019</v>
      </c>
      <c r="G131" s="9" t="n">
        <v>54644</v>
      </c>
    </row>
    <row r="132" customFormat="false" ht="15" hidden="false" customHeight="false" outlineLevel="0" collapsed="false">
      <c r="B132" s="7" t="s">
        <v>25</v>
      </c>
      <c r="C132" s="8" t="n">
        <v>4</v>
      </c>
      <c r="D132" s="7" t="s">
        <v>21</v>
      </c>
      <c r="E132" s="7" t="s">
        <v>13</v>
      </c>
      <c r="F132" s="9" t="n">
        <v>30537</v>
      </c>
      <c r="G132" s="9" t="n">
        <v>29354</v>
      </c>
    </row>
    <row r="133" customFormat="false" ht="15" hidden="false" customHeight="false" outlineLevel="0" collapsed="false">
      <c r="B133" s="7" t="s">
        <v>25</v>
      </c>
      <c r="C133" s="8" t="n">
        <v>4</v>
      </c>
      <c r="D133" s="7" t="s">
        <v>21</v>
      </c>
      <c r="E133" s="7" t="s">
        <v>14</v>
      </c>
      <c r="F133" s="9" t="n">
        <v>8347</v>
      </c>
      <c r="G133" s="9" t="n">
        <v>8494</v>
      </c>
    </row>
    <row r="134" customFormat="false" ht="15" hidden="false" customHeight="false" outlineLevel="0" collapsed="false">
      <c r="B134" s="7" t="s">
        <v>25</v>
      </c>
      <c r="C134" s="8" t="n">
        <v>4</v>
      </c>
      <c r="D134" s="7" t="s">
        <v>21</v>
      </c>
      <c r="E134" s="7" t="s">
        <v>15</v>
      </c>
      <c r="F134" s="9" t="n">
        <v>4972</v>
      </c>
      <c r="G134" s="9" t="n">
        <v>6067</v>
      </c>
    </row>
    <row r="135" customFormat="false" ht="15" hidden="false" customHeight="false" outlineLevel="0" collapsed="false">
      <c r="B135" s="7" t="s">
        <v>25</v>
      </c>
      <c r="C135" s="8" t="n">
        <v>4</v>
      </c>
      <c r="D135" s="7" t="s">
        <v>21</v>
      </c>
      <c r="E135" s="7" t="s">
        <v>16</v>
      </c>
      <c r="F135" s="9" t="n">
        <v>3808</v>
      </c>
      <c r="G135" s="9" t="n">
        <v>3893</v>
      </c>
    </row>
    <row r="136" customFormat="false" ht="15" hidden="false" customHeight="false" outlineLevel="0" collapsed="false">
      <c r="B136" s="7" t="s">
        <v>25</v>
      </c>
      <c r="C136" s="8" t="n">
        <v>4</v>
      </c>
      <c r="D136" s="7" t="s">
        <v>21</v>
      </c>
      <c r="E136" s="7" t="s">
        <v>17</v>
      </c>
      <c r="F136" s="9" t="n">
        <v>1617</v>
      </c>
      <c r="G136" s="9" t="n">
        <v>2574</v>
      </c>
    </row>
    <row r="137" customFormat="false" ht="15" hidden="false" customHeight="false" outlineLevel="0" collapsed="false">
      <c r="B137" s="7" t="s">
        <v>25</v>
      </c>
      <c r="C137" s="8" t="n">
        <v>4</v>
      </c>
      <c r="D137" s="7" t="s">
        <v>21</v>
      </c>
      <c r="E137" s="7" t="s">
        <v>18</v>
      </c>
      <c r="F137" s="9" t="n">
        <v>1935</v>
      </c>
      <c r="G137" s="9" t="n">
        <v>1588</v>
      </c>
    </row>
    <row r="138" customFormat="false" ht="15" hidden="false" customHeight="false" outlineLevel="0" collapsed="false">
      <c r="B138" s="7" t="s">
        <v>25</v>
      </c>
      <c r="C138" s="8" t="n">
        <v>4</v>
      </c>
      <c r="D138" s="7" t="s">
        <v>22</v>
      </c>
      <c r="E138" s="7" t="s">
        <v>12</v>
      </c>
      <c r="F138" s="9" t="n">
        <v>88397</v>
      </c>
      <c r="G138" s="9" t="n">
        <v>98663</v>
      </c>
    </row>
    <row r="139" customFormat="false" ht="15" hidden="false" customHeight="false" outlineLevel="0" collapsed="false">
      <c r="B139" s="7" t="s">
        <v>25</v>
      </c>
      <c r="C139" s="8" t="n">
        <v>4</v>
      </c>
      <c r="D139" s="7" t="s">
        <v>22</v>
      </c>
      <c r="E139" s="7" t="s">
        <v>13</v>
      </c>
      <c r="F139" s="9" t="n">
        <v>35831</v>
      </c>
      <c r="G139" s="9" t="n">
        <v>36888</v>
      </c>
    </row>
    <row r="140" customFormat="false" ht="15" hidden="false" customHeight="false" outlineLevel="0" collapsed="false">
      <c r="B140" s="7" t="s">
        <v>25</v>
      </c>
      <c r="C140" s="8" t="n">
        <v>4</v>
      </c>
      <c r="D140" s="7" t="s">
        <v>22</v>
      </c>
      <c r="E140" s="7" t="s">
        <v>14</v>
      </c>
      <c r="F140" s="9" t="n">
        <v>10304</v>
      </c>
      <c r="G140" s="9" t="n">
        <v>13798</v>
      </c>
    </row>
    <row r="141" customFormat="false" ht="15" hidden="false" customHeight="false" outlineLevel="0" collapsed="false">
      <c r="B141" s="7" t="s">
        <v>25</v>
      </c>
      <c r="C141" s="8" t="n">
        <v>4</v>
      </c>
      <c r="D141" s="7" t="s">
        <v>22</v>
      </c>
      <c r="E141" s="7" t="s">
        <v>15</v>
      </c>
      <c r="F141" s="9" t="n">
        <v>8307</v>
      </c>
      <c r="G141" s="9" t="n">
        <v>11266</v>
      </c>
    </row>
    <row r="142" customFormat="false" ht="15" hidden="false" customHeight="false" outlineLevel="0" collapsed="false">
      <c r="B142" s="7" t="s">
        <v>25</v>
      </c>
      <c r="C142" s="8" t="n">
        <v>4</v>
      </c>
      <c r="D142" s="7" t="s">
        <v>22</v>
      </c>
      <c r="E142" s="7" t="s">
        <v>16</v>
      </c>
      <c r="F142" s="9" t="n">
        <v>5310</v>
      </c>
      <c r="G142" s="9" t="n">
        <v>5335</v>
      </c>
    </row>
    <row r="143" customFormat="false" ht="15" hidden="false" customHeight="false" outlineLevel="0" collapsed="false">
      <c r="B143" s="7" t="s">
        <v>25</v>
      </c>
      <c r="C143" s="8" t="n">
        <v>4</v>
      </c>
      <c r="D143" s="7" t="s">
        <v>22</v>
      </c>
      <c r="E143" s="7" t="s">
        <v>17</v>
      </c>
      <c r="F143" s="9" t="n">
        <v>2028</v>
      </c>
      <c r="G143" s="9" t="n">
        <v>1061</v>
      </c>
    </row>
    <row r="144" customFormat="false" ht="15" hidden="false" customHeight="false" outlineLevel="0" collapsed="false">
      <c r="B144" s="7" t="s">
        <v>25</v>
      </c>
      <c r="C144" s="8" t="n">
        <v>4</v>
      </c>
      <c r="D144" s="7" t="s">
        <v>22</v>
      </c>
      <c r="E144" s="7" t="s">
        <v>18</v>
      </c>
      <c r="F144" s="9" t="n">
        <v>3072</v>
      </c>
      <c r="G144" s="9" t="n">
        <v>3444</v>
      </c>
    </row>
    <row r="145" customFormat="false" ht="15" hidden="false" customHeight="false" outlineLevel="0" collapsed="false">
      <c r="B145" s="7" t="s">
        <v>26</v>
      </c>
      <c r="C145" s="8" t="n">
        <v>5</v>
      </c>
      <c r="D145" s="7" t="s">
        <v>11</v>
      </c>
      <c r="E145" s="7" t="s">
        <v>12</v>
      </c>
      <c r="F145" s="9" t="n">
        <v>106950</v>
      </c>
      <c r="G145" s="9" t="n">
        <v>106218</v>
      </c>
    </row>
    <row r="146" customFormat="false" ht="15" hidden="false" customHeight="false" outlineLevel="0" collapsed="false">
      <c r="B146" s="7" t="s">
        <v>26</v>
      </c>
      <c r="C146" s="8" t="n">
        <v>5</v>
      </c>
      <c r="D146" s="7" t="s">
        <v>11</v>
      </c>
      <c r="E146" s="7" t="s">
        <v>13</v>
      </c>
      <c r="F146" s="9" t="n">
        <v>55659</v>
      </c>
      <c r="G146" s="9" t="n">
        <v>58853</v>
      </c>
    </row>
    <row r="147" customFormat="false" ht="15" hidden="false" customHeight="false" outlineLevel="0" collapsed="false">
      <c r="B147" s="7" t="s">
        <v>26</v>
      </c>
      <c r="C147" s="8" t="n">
        <v>5</v>
      </c>
      <c r="D147" s="7" t="s">
        <v>11</v>
      </c>
      <c r="E147" s="7" t="s">
        <v>14</v>
      </c>
      <c r="F147" s="9" t="n">
        <v>11673</v>
      </c>
      <c r="G147" s="9" t="n">
        <v>9518</v>
      </c>
    </row>
    <row r="148" customFormat="false" ht="15" hidden="false" customHeight="false" outlineLevel="0" collapsed="false">
      <c r="B148" s="7" t="s">
        <v>26</v>
      </c>
      <c r="C148" s="8" t="n">
        <v>5</v>
      </c>
      <c r="D148" s="7" t="s">
        <v>11</v>
      </c>
      <c r="E148" s="7" t="s">
        <v>15</v>
      </c>
      <c r="F148" s="9" t="n">
        <v>8091</v>
      </c>
      <c r="G148" s="9" t="n">
        <v>7322</v>
      </c>
    </row>
    <row r="149" customFormat="false" ht="15" hidden="false" customHeight="false" outlineLevel="0" collapsed="false">
      <c r="B149" s="7" t="s">
        <v>26</v>
      </c>
      <c r="C149" s="8" t="n">
        <v>5</v>
      </c>
      <c r="D149" s="7" t="s">
        <v>11</v>
      </c>
      <c r="E149" s="7" t="s">
        <v>16</v>
      </c>
      <c r="F149" s="9" t="n">
        <v>8382</v>
      </c>
      <c r="G149" s="9" t="n">
        <v>8603</v>
      </c>
    </row>
    <row r="150" customFormat="false" ht="15" hidden="false" customHeight="false" outlineLevel="0" collapsed="false">
      <c r="B150" s="7" t="s">
        <v>26</v>
      </c>
      <c r="C150" s="8" t="n">
        <v>5</v>
      </c>
      <c r="D150" s="7" t="s">
        <v>11</v>
      </c>
      <c r="E150" s="7" t="s">
        <v>17</v>
      </c>
      <c r="F150" s="9" t="n">
        <v>4002</v>
      </c>
      <c r="G150" s="9" t="n">
        <v>3142</v>
      </c>
    </row>
    <row r="151" customFormat="false" ht="15" hidden="false" customHeight="false" outlineLevel="0" collapsed="false">
      <c r="B151" s="7" t="s">
        <v>26</v>
      </c>
      <c r="C151" s="8" t="n">
        <v>5</v>
      </c>
      <c r="D151" s="7" t="s">
        <v>11</v>
      </c>
      <c r="E151" s="7" t="s">
        <v>18</v>
      </c>
      <c r="F151" s="9" t="n">
        <v>7718</v>
      </c>
      <c r="G151" s="9" t="n">
        <v>10553</v>
      </c>
    </row>
    <row r="152" customFormat="false" ht="15" hidden="false" customHeight="false" outlineLevel="0" collapsed="false">
      <c r="B152" s="7" t="s">
        <v>26</v>
      </c>
      <c r="C152" s="8" t="n">
        <v>5</v>
      </c>
      <c r="D152" s="7" t="s">
        <v>19</v>
      </c>
      <c r="E152" s="7" t="s">
        <v>12</v>
      </c>
      <c r="F152" s="9" t="n">
        <v>125986</v>
      </c>
      <c r="G152" s="9" t="n">
        <v>144922</v>
      </c>
    </row>
    <row r="153" customFormat="false" ht="15" hidden="false" customHeight="false" outlineLevel="0" collapsed="false">
      <c r="B153" s="7" t="s">
        <v>26</v>
      </c>
      <c r="C153" s="8" t="n">
        <v>5</v>
      </c>
      <c r="D153" s="7" t="s">
        <v>19</v>
      </c>
      <c r="E153" s="7" t="s">
        <v>13</v>
      </c>
      <c r="F153" s="9" t="n">
        <v>77388</v>
      </c>
      <c r="G153" s="9" t="n">
        <v>82549</v>
      </c>
    </row>
    <row r="154" customFormat="false" ht="15" hidden="false" customHeight="false" outlineLevel="0" collapsed="false">
      <c r="B154" s="7" t="s">
        <v>26</v>
      </c>
      <c r="C154" s="8" t="n">
        <v>5</v>
      </c>
      <c r="D154" s="7" t="s">
        <v>19</v>
      </c>
      <c r="E154" s="7" t="s">
        <v>14</v>
      </c>
      <c r="F154" s="9" t="n">
        <v>20139</v>
      </c>
      <c r="G154" s="9" t="n">
        <v>22572</v>
      </c>
    </row>
    <row r="155" customFormat="false" ht="15" hidden="false" customHeight="false" outlineLevel="0" collapsed="false">
      <c r="B155" s="7" t="s">
        <v>26</v>
      </c>
      <c r="C155" s="8" t="n">
        <v>5</v>
      </c>
      <c r="D155" s="7" t="s">
        <v>19</v>
      </c>
      <c r="E155" s="7" t="s">
        <v>15</v>
      </c>
      <c r="F155" s="9" t="n">
        <v>13849</v>
      </c>
      <c r="G155" s="9" t="n">
        <v>13771</v>
      </c>
    </row>
    <row r="156" customFormat="false" ht="15" hidden="false" customHeight="false" outlineLevel="0" collapsed="false">
      <c r="B156" s="7" t="s">
        <v>26</v>
      </c>
      <c r="C156" s="8" t="n">
        <v>5</v>
      </c>
      <c r="D156" s="7" t="s">
        <v>19</v>
      </c>
      <c r="E156" s="7" t="s">
        <v>16</v>
      </c>
      <c r="F156" s="9" t="n">
        <v>12081</v>
      </c>
      <c r="G156" s="9" t="n">
        <v>11634</v>
      </c>
    </row>
    <row r="157" customFormat="false" ht="15" hidden="false" customHeight="false" outlineLevel="0" collapsed="false">
      <c r="B157" s="7" t="s">
        <v>26</v>
      </c>
      <c r="C157" s="8" t="n">
        <v>5</v>
      </c>
      <c r="D157" s="7" t="s">
        <v>19</v>
      </c>
      <c r="E157" s="7" t="s">
        <v>17</v>
      </c>
      <c r="F157" s="9" t="n">
        <v>3931</v>
      </c>
      <c r="G157" s="9" t="n">
        <v>4229</v>
      </c>
    </row>
    <row r="158" customFormat="false" ht="15" hidden="false" customHeight="false" outlineLevel="0" collapsed="false">
      <c r="B158" s="7" t="s">
        <v>26</v>
      </c>
      <c r="C158" s="8" t="n">
        <v>5</v>
      </c>
      <c r="D158" s="7" t="s">
        <v>19</v>
      </c>
      <c r="E158" s="7" t="s">
        <v>18</v>
      </c>
      <c r="F158" s="9" t="n">
        <v>4729</v>
      </c>
      <c r="G158" s="9" t="n">
        <v>6612</v>
      </c>
    </row>
    <row r="159" customFormat="false" ht="15" hidden="false" customHeight="false" outlineLevel="0" collapsed="false">
      <c r="B159" s="7" t="s">
        <v>26</v>
      </c>
      <c r="C159" s="8" t="n">
        <v>5</v>
      </c>
      <c r="D159" s="7" t="s">
        <v>20</v>
      </c>
      <c r="E159" s="7" t="s">
        <v>12</v>
      </c>
      <c r="F159" s="9" t="n">
        <v>82800</v>
      </c>
      <c r="G159" s="9" t="n">
        <v>87008</v>
      </c>
    </row>
    <row r="160" customFormat="false" ht="15" hidden="false" customHeight="false" outlineLevel="0" collapsed="false">
      <c r="B160" s="7" t="s">
        <v>26</v>
      </c>
      <c r="C160" s="8" t="n">
        <v>5</v>
      </c>
      <c r="D160" s="7" t="s">
        <v>20</v>
      </c>
      <c r="E160" s="7" t="s">
        <v>13</v>
      </c>
      <c r="F160" s="9" t="n">
        <v>40417</v>
      </c>
      <c r="G160" s="9" t="n">
        <v>39301</v>
      </c>
    </row>
    <row r="161" customFormat="false" ht="15" hidden="false" customHeight="false" outlineLevel="0" collapsed="false">
      <c r="B161" s="7" t="s">
        <v>26</v>
      </c>
      <c r="C161" s="8" t="n">
        <v>5</v>
      </c>
      <c r="D161" s="7" t="s">
        <v>20</v>
      </c>
      <c r="E161" s="7" t="s">
        <v>14</v>
      </c>
      <c r="F161" s="9" t="n">
        <v>10690</v>
      </c>
      <c r="G161" s="9" t="n">
        <v>12192</v>
      </c>
    </row>
    <row r="162" customFormat="false" ht="15" hidden="false" customHeight="false" outlineLevel="0" collapsed="false">
      <c r="B162" s="7" t="s">
        <v>26</v>
      </c>
      <c r="C162" s="8" t="n">
        <v>5</v>
      </c>
      <c r="D162" s="7" t="s">
        <v>20</v>
      </c>
      <c r="E162" s="7" t="s">
        <v>15</v>
      </c>
      <c r="F162" s="9" t="n">
        <v>5386</v>
      </c>
      <c r="G162" s="9" t="n">
        <v>5868</v>
      </c>
    </row>
    <row r="163" customFormat="false" ht="15" hidden="false" customHeight="false" outlineLevel="0" collapsed="false">
      <c r="B163" s="7" t="s">
        <v>26</v>
      </c>
      <c r="C163" s="8" t="n">
        <v>5</v>
      </c>
      <c r="D163" s="7" t="s">
        <v>20</v>
      </c>
      <c r="E163" s="7" t="s">
        <v>16</v>
      </c>
      <c r="F163" s="9" t="n">
        <v>6601</v>
      </c>
      <c r="G163" s="9" t="n">
        <v>6721</v>
      </c>
    </row>
    <row r="164" customFormat="false" ht="15" hidden="false" customHeight="false" outlineLevel="0" collapsed="false">
      <c r="B164" s="7" t="s">
        <v>26</v>
      </c>
      <c r="C164" s="8" t="n">
        <v>5</v>
      </c>
      <c r="D164" s="7" t="s">
        <v>20</v>
      </c>
      <c r="E164" s="7" t="s">
        <v>17</v>
      </c>
      <c r="F164" s="9" t="n">
        <v>3755</v>
      </c>
      <c r="G164" s="9" t="n">
        <v>4171</v>
      </c>
    </row>
    <row r="165" customFormat="false" ht="15" hidden="false" customHeight="false" outlineLevel="0" collapsed="false">
      <c r="B165" s="7" t="s">
        <v>26</v>
      </c>
      <c r="C165" s="8" t="n">
        <v>5</v>
      </c>
      <c r="D165" s="7" t="s">
        <v>20</v>
      </c>
      <c r="E165" s="7" t="s">
        <v>18</v>
      </c>
      <c r="F165" s="9" t="n">
        <v>3482</v>
      </c>
      <c r="G165" s="9" t="n">
        <v>4897</v>
      </c>
    </row>
    <row r="166" customFormat="false" ht="15" hidden="false" customHeight="false" outlineLevel="0" collapsed="false">
      <c r="B166" s="7" t="s">
        <v>26</v>
      </c>
      <c r="C166" s="8" t="n">
        <v>5</v>
      </c>
      <c r="D166" s="7" t="s">
        <v>21</v>
      </c>
      <c r="E166" s="7" t="s">
        <v>12</v>
      </c>
      <c r="F166" s="9" t="n">
        <v>50233</v>
      </c>
      <c r="G166" s="9" t="n">
        <v>46817</v>
      </c>
    </row>
    <row r="167" customFormat="false" ht="15" hidden="false" customHeight="false" outlineLevel="0" collapsed="false">
      <c r="B167" s="7" t="s">
        <v>26</v>
      </c>
      <c r="C167" s="8" t="n">
        <v>5</v>
      </c>
      <c r="D167" s="7" t="s">
        <v>21</v>
      </c>
      <c r="E167" s="7" t="s">
        <v>13</v>
      </c>
      <c r="F167" s="9" t="n">
        <v>29444</v>
      </c>
      <c r="G167" s="9" t="n">
        <v>28133</v>
      </c>
    </row>
    <row r="168" customFormat="false" ht="15" hidden="false" customHeight="false" outlineLevel="0" collapsed="false">
      <c r="B168" s="7" t="s">
        <v>26</v>
      </c>
      <c r="C168" s="8" t="n">
        <v>5</v>
      </c>
      <c r="D168" s="7" t="s">
        <v>21</v>
      </c>
      <c r="E168" s="7" t="s">
        <v>14</v>
      </c>
      <c r="F168" s="9" t="n">
        <v>5280</v>
      </c>
      <c r="G168" s="9" t="n">
        <v>5698</v>
      </c>
    </row>
    <row r="169" customFormat="false" ht="15" hidden="false" customHeight="false" outlineLevel="0" collapsed="false">
      <c r="B169" s="7" t="s">
        <v>26</v>
      </c>
      <c r="C169" s="8" t="n">
        <v>5</v>
      </c>
      <c r="D169" s="7" t="s">
        <v>21</v>
      </c>
      <c r="E169" s="7" t="s">
        <v>15</v>
      </c>
      <c r="F169" s="9" t="n">
        <v>5760</v>
      </c>
      <c r="G169" s="9" t="n">
        <v>4144</v>
      </c>
    </row>
    <row r="170" customFormat="false" ht="15" hidden="false" customHeight="false" outlineLevel="0" collapsed="false">
      <c r="B170" s="7" t="s">
        <v>26</v>
      </c>
      <c r="C170" s="8" t="n">
        <v>5</v>
      </c>
      <c r="D170" s="7" t="s">
        <v>21</v>
      </c>
      <c r="E170" s="7" t="s">
        <v>16</v>
      </c>
      <c r="F170" s="9" t="n">
        <v>3755</v>
      </c>
      <c r="G170" s="9" t="n">
        <v>3733</v>
      </c>
    </row>
    <row r="171" customFormat="false" ht="15" hidden="false" customHeight="false" outlineLevel="0" collapsed="false">
      <c r="B171" s="7" t="s">
        <v>26</v>
      </c>
      <c r="C171" s="8" t="n">
        <v>5</v>
      </c>
      <c r="D171" s="7" t="s">
        <v>21</v>
      </c>
      <c r="E171" s="7" t="s">
        <v>17</v>
      </c>
      <c r="F171" s="9" t="n">
        <v>2704</v>
      </c>
      <c r="G171" s="9" t="n">
        <v>4247</v>
      </c>
    </row>
    <row r="172" customFormat="false" ht="15" hidden="false" customHeight="false" outlineLevel="0" collapsed="false">
      <c r="B172" s="7" t="s">
        <v>26</v>
      </c>
      <c r="C172" s="8" t="n">
        <v>5</v>
      </c>
      <c r="D172" s="7" t="s">
        <v>21</v>
      </c>
      <c r="E172" s="7" t="s">
        <v>18</v>
      </c>
      <c r="F172" s="9" t="n">
        <v>4779</v>
      </c>
      <c r="G172" s="9" t="n">
        <v>5303</v>
      </c>
    </row>
    <row r="173" customFormat="false" ht="15" hidden="false" customHeight="false" outlineLevel="0" collapsed="false">
      <c r="B173" s="7" t="s">
        <v>26</v>
      </c>
      <c r="C173" s="8" t="n">
        <v>5</v>
      </c>
      <c r="D173" s="7" t="s">
        <v>22</v>
      </c>
      <c r="E173" s="7" t="s">
        <v>12</v>
      </c>
      <c r="F173" s="9" t="n">
        <v>78532</v>
      </c>
      <c r="G173" s="9" t="n">
        <v>78474</v>
      </c>
    </row>
    <row r="174" customFormat="false" ht="15" hidden="false" customHeight="false" outlineLevel="0" collapsed="false">
      <c r="B174" s="7" t="s">
        <v>26</v>
      </c>
      <c r="C174" s="8" t="n">
        <v>5</v>
      </c>
      <c r="D174" s="7" t="s">
        <v>22</v>
      </c>
      <c r="E174" s="7" t="s">
        <v>13</v>
      </c>
      <c r="F174" s="9" t="n">
        <v>45979</v>
      </c>
      <c r="G174" s="9" t="n">
        <v>48505</v>
      </c>
    </row>
    <row r="175" customFormat="false" ht="15" hidden="false" customHeight="false" outlineLevel="0" collapsed="false">
      <c r="B175" s="7" t="s">
        <v>26</v>
      </c>
      <c r="C175" s="8" t="n">
        <v>5</v>
      </c>
      <c r="D175" s="7" t="s">
        <v>22</v>
      </c>
      <c r="E175" s="7" t="s">
        <v>14</v>
      </c>
      <c r="F175" s="9" t="n">
        <v>9727</v>
      </c>
      <c r="G175" s="9" t="n">
        <v>12818</v>
      </c>
    </row>
    <row r="176" customFormat="false" ht="15" hidden="false" customHeight="false" outlineLevel="0" collapsed="false">
      <c r="B176" s="7" t="s">
        <v>26</v>
      </c>
      <c r="C176" s="8" t="n">
        <v>5</v>
      </c>
      <c r="D176" s="7" t="s">
        <v>22</v>
      </c>
      <c r="E176" s="7" t="s">
        <v>15</v>
      </c>
      <c r="F176" s="9" t="n">
        <v>8581</v>
      </c>
      <c r="G176" s="9" t="n">
        <v>9149</v>
      </c>
    </row>
    <row r="177" customFormat="false" ht="15" hidden="false" customHeight="false" outlineLevel="0" collapsed="false">
      <c r="B177" s="7" t="s">
        <v>26</v>
      </c>
      <c r="C177" s="8" t="n">
        <v>5</v>
      </c>
      <c r="D177" s="7" t="s">
        <v>22</v>
      </c>
      <c r="E177" s="7" t="s">
        <v>16</v>
      </c>
      <c r="F177" s="9" t="n">
        <v>5650</v>
      </c>
      <c r="G177" s="9" t="n">
        <v>5888</v>
      </c>
    </row>
    <row r="178" customFormat="false" ht="15" hidden="false" customHeight="false" outlineLevel="0" collapsed="false">
      <c r="B178" s="7" t="s">
        <v>26</v>
      </c>
      <c r="C178" s="8" t="n">
        <v>5</v>
      </c>
      <c r="D178" s="7" t="s">
        <v>22</v>
      </c>
      <c r="E178" s="7" t="s">
        <v>17</v>
      </c>
      <c r="F178" s="9" t="n">
        <v>4524</v>
      </c>
      <c r="G178" s="9" t="n">
        <v>6956</v>
      </c>
    </row>
    <row r="179" customFormat="false" ht="15" hidden="false" customHeight="false" outlineLevel="0" collapsed="false">
      <c r="B179" s="7" t="s">
        <v>26</v>
      </c>
      <c r="C179" s="8" t="n">
        <v>5</v>
      </c>
      <c r="D179" s="7" t="s">
        <v>22</v>
      </c>
      <c r="E179" s="7" t="s">
        <v>18</v>
      </c>
      <c r="F179" s="9" t="n">
        <v>5332</v>
      </c>
      <c r="G179" s="9" t="n">
        <v>4317</v>
      </c>
    </row>
    <row r="180" customFormat="false" ht="15" hidden="false" customHeight="false" outlineLevel="0" collapsed="false">
      <c r="B180" s="7" t="s">
        <v>27</v>
      </c>
      <c r="C180" s="8" t="n">
        <v>6</v>
      </c>
      <c r="D180" s="7" t="s">
        <v>11</v>
      </c>
      <c r="E180" s="7" t="s">
        <v>12</v>
      </c>
      <c r="F180" s="9" t="n">
        <v>105564</v>
      </c>
      <c r="G180" s="9" t="n">
        <v>103397</v>
      </c>
    </row>
    <row r="181" customFormat="false" ht="15" hidden="false" customHeight="false" outlineLevel="0" collapsed="false">
      <c r="B181" s="7" t="s">
        <v>27</v>
      </c>
      <c r="C181" s="8" t="n">
        <v>6</v>
      </c>
      <c r="D181" s="7" t="s">
        <v>11</v>
      </c>
      <c r="E181" s="7" t="s">
        <v>13</v>
      </c>
      <c r="F181" s="9" t="n">
        <v>60424</v>
      </c>
      <c r="G181" s="9" t="n">
        <v>57972</v>
      </c>
    </row>
    <row r="182" customFormat="false" ht="15" hidden="false" customHeight="false" outlineLevel="0" collapsed="false">
      <c r="B182" s="7" t="s">
        <v>27</v>
      </c>
      <c r="C182" s="8" t="n">
        <v>6</v>
      </c>
      <c r="D182" s="7" t="s">
        <v>11</v>
      </c>
      <c r="E182" s="7" t="s">
        <v>14</v>
      </c>
      <c r="F182" s="9" t="n">
        <v>11965</v>
      </c>
      <c r="G182" s="9" t="n">
        <v>12390</v>
      </c>
    </row>
    <row r="183" customFormat="false" ht="15" hidden="false" customHeight="false" outlineLevel="0" collapsed="false">
      <c r="B183" s="7" t="s">
        <v>27</v>
      </c>
      <c r="C183" s="8" t="n">
        <v>6</v>
      </c>
      <c r="D183" s="7" t="s">
        <v>11</v>
      </c>
      <c r="E183" s="7" t="s">
        <v>15</v>
      </c>
      <c r="F183" s="9" t="n">
        <v>8090</v>
      </c>
      <c r="G183" s="9" t="n">
        <v>9454</v>
      </c>
    </row>
    <row r="184" customFormat="false" ht="15" hidden="false" customHeight="false" outlineLevel="0" collapsed="false">
      <c r="B184" s="7" t="s">
        <v>27</v>
      </c>
      <c r="C184" s="8" t="n">
        <v>6</v>
      </c>
      <c r="D184" s="7" t="s">
        <v>11</v>
      </c>
      <c r="E184" s="7" t="s">
        <v>16</v>
      </c>
      <c r="F184" s="9" t="n">
        <v>7801</v>
      </c>
      <c r="G184" s="9" t="n">
        <v>8110</v>
      </c>
    </row>
    <row r="185" customFormat="false" ht="15" hidden="false" customHeight="false" outlineLevel="0" collapsed="false">
      <c r="B185" s="7" t="s">
        <v>27</v>
      </c>
      <c r="C185" s="8" t="n">
        <v>6</v>
      </c>
      <c r="D185" s="7" t="s">
        <v>11</v>
      </c>
      <c r="E185" s="7" t="s">
        <v>17</v>
      </c>
      <c r="F185" s="9" t="n">
        <v>3158</v>
      </c>
      <c r="G185" s="9" t="n">
        <v>4842</v>
      </c>
    </row>
    <row r="186" customFormat="false" ht="15" hidden="false" customHeight="false" outlineLevel="0" collapsed="false">
      <c r="B186" s="7" t="s">
        <v>27</v>
      </c>
      <c r="C186" s="8" t="n">
        <v>6</v>
      </c>
      <c r="D186" s="7" t="s">
        <v>11</v>
      </c>
      <c r="E186" s="7" t="s">
        <v>18</v>
      </c>
      <c r="F186" s="9" t="n">
        <v>7198</v>
      </c>
      <c r="G186" s="9" t="n">
        <v>5861</v>
      </c>
    </row>
    <row r="187" customFormat="false" ht="15" hidden="false" customHeight="false" outlineLevel="0" collapsed="false">
      <c r="B187" s="7" t="s">
        <v>27</v>
      </c>
      <c r="C187" s="8" t="n">
        <v>6</v>
      </c>
      <c r="D187" s="7" t="s">
        <v>19</v>
      </c>
      <c r="E187" s="7" t="s">
        <v>12</v>
      </c>
      <c r="F187" s="9" t="n">
        <v>133492</v>
      </c>
      <c r="G187" s="9" t="n">
        <v>156090</v>
      </c>
    </row>
    <row r="188" customFormat="false" ht="15" hidden="false" customHeight="false" outlineLevel="0" collapsed="false">
      <c r="B188" s="7" t="s">
        <v>27</v>
      </c>
      <c r="C188" s="8" t="n">
        <v>6</v>
      </c>
      <c r="D188" s="7" t="s">
        <v>19</v>
      </c>
      <c r="E188" s="7" t="s">
        <v>13</v>
      </c>
      <c r="F188" s="9" t="n">
        <v>70792</v>
      </c>
      <c r="G188" s="9" t="n">
        <v>74124</v>
      </c>
    </row>
    <row r="189" customFormat="false" ht="15" hidden="false" customHeight="false" outlineLevel="0" collapsed="false">
      <c r="B189" s="7" t="s">
        <v>27</v>
      </c>
      <c r="C189" s="8" t="n">
        <v>6</v>
      </c>
      <c r="D189" s="7" t="s">
        <v>19</v>
      </c>
      <c r="E189" s="7" t="s">
        <v>14</v>
      </c>
      <c r="F189" s="9" t="n">
        <v>13156</v>
      </c>
      <c r="G189" s="9" t="n">
        <v>13406</v>
      </c>
    </row>
    <row r="190" customFormat="false" ht="15" hidden="false" customHeight="false" outlineLevel="0" collapsed="false">
      <c r="B190" s="7" t="s">
        <v>27</v>
      </c>
      <c r="C190" s="8" t="n">
        <v>6</v>
      </c>
      <c r="D190" s="7" t="s">
        <v>19</v>
      </c>
      <c r="E190" s="7" t="s">
        <v>15</v>
      </c>
      <c r="F190" s="9" t="n">
        <v>13486</v>
      </c>
      <c r="G190" s="9" t="n">
        <v>10977</v>
      </c>
    </row>
    <row r="191" customFormat="false" ht="15" hidden="false" customHeight="false" outlineLevel="0" collapsed="false">
      <c r="B191" s="7" t="s">
        <v>27</v>
      </c>
      <c r="C191" s="8" t="n">
        <v>6</v>
      </c>
      <c r="D191" s="7" t="s">
        <v>19</v>
      </c>
      <c r="E191" s="7" t="s">
        <v>16</v>
      </c>
      <c r="F191" s="9" t="n">
        <v>13102</v>
      </c>
      <c r="G191" s="9" t="n">
        <v>13537</v>
      </c>
    </row>
    <row r="192" customFormat="false" ht="15" hidden="false" customHeight="false" outlineLevel="0" collapsed="false">
      <c r="B192" s="7" t="s">
        <v>27</v>
      </c>
      <c r="C192" s="8" t="n">
        <v>6</v>
      </c>
      <c r="D192" s="7" t="s">
        <v>19</v>
      </c>
      <c r="E192" s="7" t="s">
        <v>17</v>
      </c>
      <c r="F192" s="9" t="n">
        <v>3991</v>
      </c>
      <c r="G192" s="9" t="n">
        <v>5096</v>
      </c>
    </row>
    <row r="193" customFormat="false" ht="15" hidden="false" customHeight="false" outlineLevel="0" collapsed="false">
      <c r="B193" s="7" t="s">
        <v>27</v>
      </c>
      <c r="C193" s="8" t="n">
        <v>6</v>
      </c>
      <c r="D193" s="7" t="s">
        <v>19</v>
      </c>
      <c r="E193" s="7" t="s">
        <v>18</v>
      </c>
      <c r="F193" s="9" t="n">
        <v>10834</v>
      </c>
      <c r="G193" s="9" t="n">
        <v>11083</v>
      </c>
    </row>
    <row r="194" customFormat="false" ht="15" hidden="false" customHeight="false" outlineLevel="0" collapsed="false">
      <c r="B194" s="7" t="s">
        <v>27</v>
      </c>
      <c r="C194" s="8" t="n">
        <v>6</v>
      </c>
      <c r="D194" s="7" t="s">
        <v>20</v>
      </c>
      <c r="E194" s="7" t="s">
        <v>12</v>
      </c>
      <c r="F194" s="9" t="n">
        <v>96847</v>
      </c>
      <c r="G194" s="9" t="n">
        <v>88575</v>
      </c>
    </row>
    <row r="195" customFormat="false" ht="15" hidden="false" customHeight="false" outlineLevel="0" collapsed="false">
      <c r="B195" s="7" t="s">
        <v>27</v>
      </c>
      <c r="C195" s="8" t="n">
        <v>6</v>
      </c>
      <c r="D195" s="7" t="s">
        <v>20</v>
      </c>
      <c r="E195" s="7" t="s">
        <v>13</v>
      </c>
      <c r="F195" s="9" t="n">
        <v>45393</v>
      </c>
      <c r="G195" s="9" t="n">
        <v>43667</v>
      </c>
    </row>
    <row r="196" customFormat="false" ht="15" hidden="false" customHeight="false" outlineLevel="0" collapsed="false">
      <c r="B196" s="7" t="s">
        <v>27</v>
      </c>
      <c r="C196" s="8" t="n">
        <v>6</v>
      </c>
      <c r="D196" s="7" t="s">
        <v>20</v>
      </c>
      <c r="E196" s="7" t="s">
        <v>14</v>
      </c>
      <c r="F196" s="9" t="n">
        <v>9897</v>
      </c>
      <c r="G196" s="9" t="n">
        <v>8023</v>
      </c>
    </row>
    <row r="197" customFormat="false" ht="15" hidden="false" customHeight="false" outlineLevel="0" collapsed="false">
      <c r="B197" s="7" t="s">
        <v>27</v>
      </c>
      <c r="C197" s="8" t="n">
        <v>6</v>
      </c>
      <c r="D197" s="7" t="s">
        <v>20</v>
      </c>
      <c r="E197" s="7" t="s">
        <v>15</v>
      </c>
      <c r="F197" s="9" t="n">
        <v>8584</v>
      </c>
      <c r="G197" s="9" t="n">
        <v>8764</v>
      </c>
    </row>
    <row r="198" customFormat="false" ht="15" hidden="false" customHeight="false" outlineLevel="0" collapsed="false">
      <c r="B198" s="7" t="s">
        <v>27</v>
      </c>
      <c r="C198" s="8" t="n">
        <v>6</v>
      </c>
      <c r="D198" s="7" t="s">
        <v>20</v>
      </c>
      <c r="E198" s="7" t="s">
        <v>16</v>
      </c>
      <c r="F198" s="9" t="n">
        <v>7992</v>
      </c>
      <c r="G198" s="9" t="n">
        <v>7606</v>
      </c>
    </row>
    <row r="199" customFormat="false" ht="15" hidden="false" customHeight="false" outlineLevel="0" collapsed="false">
      <c r="B199" s="7" t="s">
        <v>27</v>
      </c>
      <c r="C199" s="8" t="n">
        <v>6</v>
      </c>
      <c r="D199" s="7" t="s">
        <v>20</v>
      </c>
      <c r="E199" s="7" t="s">
        <v>17</v>
      </c>
      <c r="F199" s="9" t="n">
        <v>3021</v>
      </c>
      <c r="G199" s="9" t="n">
        <v>3229</v>
      </c>
    </row>
    <row r="200" customFormat="false" ht="15" hidden="false" customHeight="false" outlineLevel="0" collapsed="false">
      <c r="B200" s="7" t="s">
        <v>27</v>
      </c>
      <c r="C200" s="8" t="n">
        <v>6</v>
      </c>
      <c r="D200" s="7" t="s">
        <v>20</v>
      </c>
      <c r="E200" s="7" t="s">
        <v>18</v>
      </c>
      <c r="F200" s="9" t="n">
        <v>4878</v>
      </c>
      <c r="G200" s="9" t="n">
        <v>5413</v>
      </c>
    </row>
    <row r="201" customFormat="false" ht="15" hidden="false" customHeight="false" outlineLevel="0" collapsed="false">
      <c r="B201" s="7" t="s">
        <v>27</v>
      </c>
      <c r="C201" s="8" t="n">
        <v>6</v>
      </c>
      <c r="D201" s="7" t="s">
        <v>21</v>
      </c>
      <c r="E201" s="7" t="s">
        <v>12</v>
      </c>
      <c r="F201" s="9" t="n">
        <v>50527</v>
      </c>
      <c r="G201" s="9" t="n">
        <v>44829</v>
      </c>
    </row>
    <row r="202" customFormat="false" ht="15" hidden="false" customHeight="false" outlineLevel="0" collapsed="false">
      <c r="B202" s="7" t="s">
        <v>27</v>
      </c>
      <c r="C202" s="8" t="n">
        <v>6</v>
      </c>
      <c r="D202" s="7" t="s">
        <v>21</v>
      </c>
      <c r="E202" s="7" t="s">
        <v>13</v>
      </c>
      <c r="F202" s="9" t="n">
        <v>28493</v>
      </c>
      <c r="G202" s="9" t="n">
        <v>30667</v>
      </c>
    </row>
    <row r="203" customFormat="false" ht="15" hidden="false" customHeight="false" outlineLevel="0" collapsed="false">
      <c r="B203" s="7" t="s">
        <v>27</v>
      </c>
      <c r="C203" s="8" t="n">
        <v>6</v>
      </c>
      <c r="D203" s="7" t="s">
        <v>21</v>
      </c>
      <c r="E203" s="7" t="s">
        <v>14</v>
      </c>
      <c r="F203" s="9" t="n">
        <v>5314</v>
      </c>
      <c r="G203" s="9" t="n">
        <v>4496</v>
      </c>
    </row>
    <row r="204" customFormat="false" ht="15" hidden="false" customHeight="false" outlineLevel="0" collapsed="false">
      <c r="B204" s="7" t="s">
        <v>27</v>
      </c>
      <c r="C204" s="8" t="n">
        <v>6</v>
      </c>
      <c r="D204" s="7" t="s">
        <v>21</v>
      </c>
      <c r="E204" s="7" t="s">
        <v>15</v>
      </c>
      <c r="F204" s="9" t="n">
        <v>4336</v>
      </c>
      <c r="G204" s="9" t="n">
        <v>3155</v>
      </c>
    </row>
    <row r="205" customFormat="false" ht="15" hidden="false" customHeight="false" outlineLevel="0" collapsed="false">
      <c r="B205" s="7" t="s">
        <v>27</v>
      </c>
      <c r="C205" s="8" t="n">
        <v>6</v>
      </c>
      <c r="D205" s="7" t="s">
        <v>21</v>
      </c>
      <c r="E205" s="7" t="s">
        <v>16</v>
      </c>
      <c r="F205" s="9" t="n">
        <v>4045</v>
      </c>
      <c r="G205" s="9" t="n">
        <v>3952</v>
      </c>
    </row>
    <row r="206" customFormat="false" ht="15" hidden="false" customHeight="false" outlineLevel="0" collapsed="false">
      <c r="B206" s="7" t="s">
        <v>27</v>
      </c>
      <c r="C206" s="8" t="n">
        <v>6</v>
      </c>
      <c r="D206" s="7" t="s">
        <v>21</v>
      </c>
      <c r="E206" s="7" t="s">
        <v>17</v>
      </c>
      <c r="F206" s="9" t="n">
        <v>1518</v>
      </c>
      <c r="G206" s="9" t="n">
        <v>2127</v>
      </c>
    </row>
    <row r="207" customFormat="false" ht="15" hidden="false" customHeight="false" outlineLevel="0" collapsed="false">
      <c r="B207" s="7" t="s">
        <v>27</v>
      </c>
      <c r="C207" s="8" t="n">
        <v>6</v>
      </c>
      <c r="D207" s="7" t="s">
        <v>21</v>
      </c>
      <c r="E207" s="7" t="s">
        <v>18</v>
      </c>
      <c r="F207" s="9" t="n">
        <v>3070</v>
      </c>
      <c r="G207" s="9" t="n">
        <v>3146</v>
      </c>
    </row>
    <row r="208" customFormat="false" ht="15" hidden="false" customHeight="false" outlineLevel="0" collapsed="false">
      <c r="B208" s="7" t="s">
        <v>27</v>
      </c>
      <c r="C208" s="8" t="n">
        <v>6</v>
      </c>
      <c r="D208" s="7" t="s">
        <v>22</v>
      </c>
      <c r="E208" s="7" t="s">
        <v>12</v>
      </c>
      <c r="F208" s="9" t="n">
        <v>92132</v>
      </c>
      <c r="G208" s="9" t="n">
        <v>106258</v>
      </c>
    </row>
    <row r="209" customFormat="false" ht="15" hidden="false" customHeight="false" outlineLevel="0" collapsed="false">
      <c r="B209" s="7" t="s">
        <v>27</v>
      </c>
      <c r="C209" s="8" t="n">
        <v>6</v>
      </c>
      <c r="D209" s="7" t="s">
        <v>22</v>
      </c>
      <c r="E209" s="7" t="s">
        <v>13</v>
      </c>
      <c r="F209" s="9" t="n">
        <v>46957</v>
      </c>
      <c r="G209" s="9" t="n">
        <v>47628</v>
      </c>
    </row>
    <row r="210" customFormat="false" ht="15" hidden="false" customHeight="false" outlineLevel="0" collapsed="false">
      <c r="B210" s="7" t="s">
        <v>27</v>
      </c>
      <c r="C210" s="8" t="n">
        <v>6</v>
      </c>
      <c r="D210" s="7" t="s">
        <v>22</v>
      </c>
      <c r="E210" s="7" t="s">
        <v>14</v>
      </c>
      <c r="F210" s="9" t="n">
        <v>8543</v>
      </c>
      <c r="G210" s="9" t="n">
        <v>7254</v>
      </c>
    </row>
    <row r="211" customFormat="false" ht="15" hidden="false" customHeight="false" outlineLevel="0" collapsed="false">
      <c r="B211" s="7" t="s">
        <v>27</v>
      </c>
      <c r="C211" s="8" t="n">
        <v>6</v>
      </c>
      <c r="D211" s="7" t="s">
        <v>22</v>
      </c>
      <c r="E211" s="7" t="s">
        <v>15</v>
      </c>
      <c r="F211" s="9" t="n">
        <v>4376</v>
      </c>
      <c r="G211" s="9" t="n">
        <v>5512</v>
      </c>
    </row>
    <row r="212" customFormat="false" ht="15" hidden="false" customHeight="false" outlineLevel="0" collapsed="false">
      <c r="B212" s="7" t="s">
        <v>27</v>
      </c>
      <c r="C212" s="8" t="n">
        <v>6</v>
      </c>
      <c r="D212" s="7" t="s">
        <v>22</v>
      </c>
      <c r="E212" s="7" t="s">
        <v>16</v>
      </c>
      <c r="F212" s="9" t="n">
        <v>5400</v>
      </c>
      <c r="G212" s="9" t="n">
        <v>5359</v>
      </c>
    </row>
    <row r="213" customFormat="false" ht="15" hidden="false" customHeight="false" outlineLevel="0" collapsed="false">
      <c r="B213" s="7" t="s">
        <v>27</v>
      </c>
      <c r="C213" s="8" t="n">
        <v>6</v>
      </c>
      <c r="D213" s="7" t="s">
        <v>22</v>
      </c>
      <c r="E213" s="7" t="s">
        <v>17</v>
      </c>
      <c r="F213" s="9" t="n">
        <v>1836</v>
      </c>
      <c r="G213" s="9" t="n">
        <v>1461</v>
      </c>
    </row>
    <row r="214" customFormat="false" ht="15" hidden="false" customHeight="false" outlineLevel="0" collapsed="false">
      <c r="B214" s="7" t="s">
        <v>27</v>
      </c>
      <c r="C214" s="8" t="n">
        <v>6</v>
      </c>
      <c r="D214" s="7" t="s">
        <v>22</v>
      </c>
      <c r="E214" s="7" t="s">
        <v>18</v>
      </c>
      <c r="F214" s="9" t="n">
        <v>2509</v>
      </c>
      <c r="G214" s="9" t="n">
        <v>3029</v>
      </c>
    </row>
    <row r="215" customFormat="false" ht="15" hidden="false" customHeight="false" outlineLevel="0" collapsed="false">
      <c r="B215" s="7" t="s">
        <v>28</v>
      </c>
      <c r="C215" s="8" t="n">
        <v>7</v>
      </c>
      <c r="D215" s="7" t="s">
        <v>11</v>
      </c>
      <c r="E215" s="7" t="s">
        <v>12</v>
      </c>
      <c r="F215" s="9" t="n">
        <v>116490</v>
      </c>
      <c r="G215" s="9" t="n">
        <v>102235</v>
      </c>
    </row>
    <row r="216" customFormat="false" ht="15" hidden="false" customHeight="false" outlineLevel="0" collapsed="false">
      <c r="B216" s="7" t="s">
        <v>28</v>
      </c>
      <c r="C216" s="8" t="n">
        <v>7</v>
      </c>
      <c r="D216" s="7" t="s">
        <v>11</v>
      </c>
      <c r="E216" s="7" t="s">
        <v>13</v>
      </c>
      <c r="F216" s="9" t="n">
        <v>56744</v>
      </c>
      <c r="G216" s="9" t="n">
        <v>54398</v>
      </c>
    </row>
    <row r="217" customFormat="false" ht="15" hidden="false" customHeight="false" outlineLevel="0" collapsed="false">
      <c r="B217" s="7" t="s">
        <v>28</v>
      </c>
      <c r="C217" s="8" t="n">
        <v>7</v>
      </c>
      <c r="D217" s="7" t="s">
        <v>11</v>
      </c>
      <c r="E217" s="7" t="s">
        <v>14</v>
      </c>
      <c r="F217" s="9" t="n">
        <v>10795</v>
      </c>
      <c r="G217" s="9" t="n">
        <v>11330</v>
      </c>
    </row>
    <row r="218" customFormat="false" ht="15" hidden="false" customHeight="false" outlineLevel="0" collapsed="false">
      <c r="B218" s="7" t="s">
        <v>28</v>
      </c>
      <c r="C218" s="8" t="n">
        <v>7</v>
      </c>
      <c r="D218" s="7" t="s">
        <v>11</v>
      </c>
      <c r="E218" s="7" t="s">
        <v>15</v>
      </c>
      <c r="F218" s="9" t="n">
        <v>9333</v>
      </c>
      <c r="G218" s="9" t="n">
        <v>13028</v>
      </c>
    </row>
    <row r="219" customFormat="false" ht="15" hidden="false" customHeight="false" outlineLevel="0" collapsed="false">
      <c r="B219" s="7" t="s">
        <v>28</v>
      </c>
      <c r="C219" s="8" t="n">
        <v>7</v>
      </c>
      <c r="D219" s="7" t="s">
        <v>11</v>
      </c>
      <c r="E219" s="7" t="s">
        <v>16</v>
      </c>
      <c r="F219" s="9" t="n">
        <v>9253</v>
      </c>
      <c r="G219" s="9" t="n">
        <v>9647</v>
      </c>
    </row>
    <row r="220" customFormat="false" ht="15" hidden="false" customHeight="false" outlineLevel="0" collapsed="false">
      <c r="B220" s="7" t="s">
        <v>28</v>
      </c>
      <c r="C220" s="8" t="n">
        <v>7</v>
      </c>
      <c r="D220" s="7" t="s">
        <v>11</v>
      </c>
      <c r="E220" s="7" t="s">
        <v>17</v>
      </c>
      <c r="F220" s="9" t="n">
        <v>3716</v>
      </c>
      <c r="G220" s="9" t="n">
        <v>4399</v>
      </c>
    </row>
    <row r="221" customFormat="false" ht="15" hidden="false" customHeight="false" outlineLevel="0" collapsed="false">
      <c r="B221" s="7" t="s">
        <v>28</v>
      </c>
      <c r="C221" s="8" t="n">
        <v>7</v>
      </c>
      <c r="D221" s="7" t="s">
        <v>11</v>
      </c>
      <c r="E221" s="7" t="s">
        <v>18</v>
      </c>
      <c r="F221" s="9" t="n">
        <v>4023</v>
      </c>
      <c r="G221" s="9" t="n">
        <v>4511</v>
      </c>
    </row>
    <row r="222" customFormat="false" ht="15" hidden="false" customHeight="false" outlineLevel="0" collapsed="false">
      <c r="B222" s="7" t="s">
        <v>28</v>
      </c>
      <c r="C222" s="8" t="n">
        <v>7</v>
      </c>
      <c r="D222" s="7" t="s">
        <v>19</v>
      </c>
      <c r="E222" s="7" t="s">
        <v>12</v>
      </c>
      <c r="F222" s="9" t="n">
        <v>143439</v>
      </c>
      <c r="G222" s="9" t="n">
        <v>166329</v>
      </c>
    </row>
    <row r="223" customFormat="false" ht="15" hidden="false" customHeight="false" outlineLevel="0" collapsed="false">
      <c r="B223" s="7" t="s">
        <v>28</v>
      </c>
      <c r="C223" s="8" t="n">
        <v>7</v>
      </c>
      <c r="D223" s="7" t="s">
        <v>19</v>
      </c>
      <c r="E223" s="7" t="s">
        <v>13</v>
      </c>
      <c r="F223" s="9" t="n">
        <v>67935</v>
      </c>
      <c r="G223" s="9" t="n">
        <v>66851</v>
      </c>
    </row>
    <row r="224" customFormat="false" ht="15" hidden="false" customHeight="false" outlineLevel="0" collapsed="false">
      <c r="B224" s="7" t="s">
        <v>28</v>
      </c>
      <c r="C224" s="8" t="n">
        <v>7</v>
      </c>
      <c r="D224" s="7" t="s">
        <v>19</v>
      </c>
      <c r="E224" s="7" t="s">
        <v>14</v>
      </c>
      <c r="F224" s="9" t="n">
        <v>14224</v>
      </c>
      <c r="G224" s="9" t="n">
        <v>12957</v>
      </c>
    </row>
    <row r="225" customFormat="false" ht="15" hidden="false" customHeight="false" outlineLevel="0" collapsed="false">
      <c r="B225" s="7" t="s">
        <v>28</v>
      </c>
      <c r="C225" s="8" t="n">
        <v>7</v>
      </c>
      <c r="D225" s="7" t="s">
        <v>19</v>
      </c>
      <c r="E225" s="7" t="s">
        <v>15</v>
      </c>
      <c r="F225" s="9" t="n">
        <v>11332</v>
      </c>
      <c r="G225" s="9" t="n">
        <v>12919</v>
      </c>
    </row>
    <row r="226" customFormat="false" ht="15" hidden="false" customHeight="false" outlineLevel="0" collapsed="false">
      <c r="B226" s="7" t="s">
        <v>28</v>
      </c>
      <c r="C226" s="8" t="n">
        <v>7</v>
      </c>
      <c r="D226" s="7" t="s">
        <v>19</v>
      </c>
      <c r="E226" s="7" t="s">
        <v>16</v>
      </c>
      <c r="F226" s="9" t="n">
        <v>12262</v>
      </c>
      <c r="G226" s="9" t="n">
        <v>12580</v>
      </c>
    </row>
    <row r="227" customFormat="false" ht="15" hidden="false" customHeight="false" outlineLevel="0" collapsed="false">
      <c r="B227" s="7" t="s">
        <v>28</v>
      </c>
      <c r="C227" s="8" t="n">
        <v>7</v>
      </c>
      <c r="D227" s="7" t="s">
        <v>19</v>
      </c>
      <c r="E227" s="7" t="s">
        <v>17</v>
      </c>
      <c r="F227" s="9" t="n">
        <v>4780</v>
      </c>
      <c r="G227" s="9" t="n">
        <v>4733</v>
      </c>
    </row>
    <row r="228" customFormat="false" ht="15" hidden="false" customHeight="false" outlineLevel="0" collapsed="false">
      <c r="B228" s="7" t="s">
        <v>28</v>
      </c>
      <c r="C228" s="8" t="n">
        <v>7</v>
      </c>
      <c r="D228" s="7" t="s">
        <v>19</v>
      </c>
      <c r="E228" s="7" t="s">
        <v>18</v>
      </c>
      <c r="F228" s="9" t="n">
        <v>6685</v>
      </c>
      <c r="G228" s="9" t="n">
        <v>6126</v>
      </c>
    </row>
    <row r="229" customFormat="false" ht="15" hidden="false" customHeight="false" outlineLevel="0" collapsed="false">
      <c r="B229" s="7" t="s">
        <v>28</v>
      </c>
      <c r="C229" s="8" t="n">
        <v>7</v>
      </c>
      <c r="D229" s="7" t="s">
        <v>20</v>
      </c>
      <c r="E229" s="7" t="s">
        <v>12</v>
      </c>
      <c r="F229" s="9" t="n">
        <v>73071</v>
      </c>
      <c r="G229" s="9" t="n">
        <v>86091</v>
      </c>
    </row>
    <row r="230" customFormat="false" ht="15" hidden="false" customHeight="false" outlineLevel="0" collapsed="false">
      <c r="B230" s="7" t="s">
        <v>28</v>
      </c>
      <c r="C230" s="8" t="n">
        <v>7</v>
      </c>
      <c r="D230" s="7" t="s">
        <v>20</v>
      </c>
      <c r="E230" s="7" t="s">
        <v>13</v>
      </c>
      <c r="F230" s="9" t="n">
        <v>37089</v>
      </c>
      <c r="G230" s="9" t="n">
        <v>35308</v>
      </c>
    </row>
    <row r="231" customFormat="false" ht="15" hidden="false" customHeight="false" outlineLevel="0" collapsed="false">
      <c r="B231" s="7" t="s">
        <v>28</v>
      </c>
      <c r="C231" s="8" t="n">
        <v>7</v>
      </c>
      <c r="D231" s="7" t="s">
        <v>20</v>
      </c>
      <c r="E231" s="7" t="s">
        <v>14</v>
      </c>
      <c r="F231" s="9" t="n">
        <v>12604</v>
      </c>
      <c r="G231" s="9" t="n">
        <v>13588</v>
      </c>
    </row>
    <row r="232" customFormat="false" ht="15" hidden="false" customHeight="false" outlineLevel="0" collapsed="false">
      <c r="B232" s="7" t="s">
        <v>28</v>
      </c>
      <c r="C232" s="8" t="n">
        <v>7</v>
      </c>
      <c r="D232" s="7" t="s">
        <v>20</v>
      </c>
      <c r="E232" s="7" t="s">
        <v>15</v>
      </c>
      <c r="F232" s="9" t="n">
        <v>5896</v>
      </c>
      <c r="G232" s="9" t="n">
        <v>6249</v>
      </c>
    </row>
    <row r="233" customFormat="false" ht="15" hidden="false" customHeight="false" outlineLevel="0" collapsed="false">
      <c r="B233" s="7" t="s">
        <v>28</v>
      </c>
      <c r="C233" s="8" t="n">
        <v>7</v>
      </c>
      <c r="D233" s="7" t="s">
        <v>20</v>
      </c>
      <c r="E233" s="7" t="s">
        <v>16</v>
      </c>
      <c r="F233" s="9" t="n">
        <v>6305</v>
      </c>
      <c r="G233" s="9" t="n">
        <v>6579</v>
      </c>
    </row>
    <row r="234" customFormat="false" ht="15" hidden="false" customHeight="false" outlineLevel="0" collapsed="false">
      <c r="B234" s="7" t="s">
        <v>28</v>
      </c>
      <c r="C234" s="8" t="n">
        <v>7</v>
      </c>
      <c r="D234" s="7" t="s">
        <v>20</v>
      </c>
      <c r="E234" s="7" t="s">
        <v>17</v>
      </c>
      <c r="F234" s="9" t="n">
        <v>2191</v>
      </c>
      <c r="G234" s="9" t="n">
        <v>2682</v>
      </c>
    </row>
    <row r="235" customFormat="false" ht="15" hidden="false" customHeight="false" outlineLevel="0" collapsed="false">
      <c r="B235" s="7" t="s">
        <v>28</v>
      </c>
      <c r="C235" s="8" t="n">
        <v>7</v>
      </c>
      <c r="D235" s="7" t="s">
        <v>20</v>
      </c>
      <c r="E235" s="7" t="s">
        <v>18</v>
      </c>
      <c r="F235" s="9" t="n">
        <v>5886</v>
      </c>
      <c r="G235" s="9" t="n">
        <v>7211</v>
      </c>
    </row>
    <row r="236" customFormat="false" ht="15" hidden="false" customHeight="false" outlineLevel="0" collapsed="false">
      <c r="B236" s="7" t="s">
        <v>28</v>
      </c>
      <c r="C236" s="8" t="n">
        <v>7</v>
      </c>
      <c r="D236" s="7" t="s">
        <v>21</v>
      </c>
      <c r="E236" s="7" t="s">
        <v>12</v>
      </c>
      <c r="F236" s="9" t="n">
        <v>69465</v>
      </c>
      <c r="G236" s="9" t="n">
        <v>78177</v>
      </c>
    </row>
    <row r="237" customFormat="false" ht="15" hidden="false" customHeight="false" outlineLevel="0" collapsed="false">
      <c r="B237" s="7" t="s">
        <v>28</v>
      </c>
      <c r="C237" s="8" t="n">
        <v>7</v>
      </c>
      <c r="D237" s="7" t="s">
        <v>21</v>
      </c>
      <c r="E237" s="7" t="s">
        <v>13</v>
      </c>
      <c r="F237" s="9" t="n">
        <v>31728</v>
      </c>
      <c r="G237" s="9" t="n">
        <v>34143</v>
      </c>
    </row>
    <row r="238" customFormat="false" ht="15" hidden="false" customHeight="false" outlineLevel="0" collapsed="false">
      <c r="B238" s="7" t="s">
        <v>28</v>
      </c>
      <c r="C238" s="8" t="n">
        <v>7</v>
      </c>
      <c r="D238" s="7" t="s">
        <v>21</v>
      </c>
      <c r="E238" s="7" t="s">
        <v>14</v>
      </c>
      <c r="F238" s="9" t="n">
        <v>6312</v>
      </c>
      <c r="G238" s="9" t="n">
        <v>7437</v>
      </c>
    </row>
    <row r="239" customFormat="false" ht="15" hidden="false" customHeight="false" outlineLevel="0" collapsed="false">
      <c r="B239" s="7" t="s">
        <v>28</v>
      </c>
      <c r="C239" s="8" t="n">
        <v>7</v>
      </c>
      <c r="D239" s="7" t="s">
        <v>21</v>
      </c>
      <c r="E239" s="7" t="s">
        <v>15</v>
      </c>
      <c r="F239" s="9" t="n">
        <v>4128</v>
      </c>
      <c r="G239" s="9" t="n">
        <v>3879</v>
      </c>
    </row>
    <row r="240" customFormat="false" ht="15" hidden="false" customHeight="false" outlineLevel="0" collapsed="false">
      <c r="B240" s="7" t="s">
        <v>28</v>
      </c>
      <c r="C240" s="8" t="n">
        <v>7</v>
      </c>
      <c r="D240" s="7" t="s">
        <v>21</v>
      </c>
      <c r="E240" s="7" t="s">
        <v>16</v>
      </c>
      <c r="F240" s="9" t="n">
        <v>5336</v>
      </c>
      <c r="G240" s="9" t="n">
        <v>5458</v>
      </c>
    </row>
    <row r="241" customFormat="false" ht="15" hidden="false" customHeight="false" outlineLevel="0" collapsed="false">
      <c r="B241" s="7" t="s">
        <v>28</v>
      </c>
      <c r="C241" s="8" t="n">
        <v>7</v>
      </c>
      <c r="D241" s="7" t="s">
        <v>21</v>
      </c>
      <c r="E241" s="7" t="s">
        <v>17</v>
      </c>
      <c r="F241" s="9" t="n">
        <v>1543</v>
      </c>
      <c r="G241" s="9" t="n">
        <v>1458</v>
      </c>
    </row>
    <row r="242" customFormat="false" ht="15" hidden="false" customHeight="false" outlineLevel="0" collapsed="false">
      <c r="B242" s="7" t="s">
        <v>28</v>
      </c>
      <c r="C242" s="8" t="n">
        <v>7</v>
      </c>
      <c r="D242" s="7" t="s">
        <v>21</v>
      </c>
      <c r="E242" s="7" t="s">
        <v>18</v>
      </c>
      <c r="F242" s="9" t="n">
        <v>3508</v>
      </c>
      <c r="G242" s="9" t="n">
        <v>5211</v>
      </c>
    </row>
    <row r="243" customFormat="false" ht="15" hidden="false" customHeight="false" outlineLevel="0" collapsed="false">
      <c r="B243" s="7" t="s">
        <v>28</v>
      </c>
      <c r="C243" s="8" t="n">
        <v>7</v>
      </c>
      <c r="D243" s="7" t="s">
        <v>22</v>
      </c>
      <c r="E243" s="7" t="s">
        <v>12</v>
      </c>
      <c r="F243" s="9" t="n">
        <v>70805</v>
      </c>
      <c r="G243" s="9" t="n">
        <v>60517</v>
      </c>
    </row>
    <row r="244" customFormat="false" ht="15" hidden="false" customHeight="false" outlineLevel="0" collapsed="false">
      <c r="B244" s="7" t="s">
        <v>28</v>
      </c>
      <c r="C244" s="8" t="n">
        <v>7</v>
      </c>
      <c r="D244" s="7" t="s">
        <v>22</v>
      </c>
      <c r="E244" s="7" t="s">
        <v>13</v>
      </c>
      <c r="F244" s="9" t="n">
        <v>38700</v>
      </c>
      <c r="G244" s="9" t="n">
        <v>38932</v>
      </c>
    </row>
    <row r="245" customFormat="false" ht="15" hidden="false" customHeight="false" outlineLevel="0" collapsed="false">
      <c r="B245" s="7" t="s">
        <v>28</v>
      </c>
      <c r="C245" s="8" t="n">
        <v>7</v>
      </c>
      <c r="D245" s="7" t="s">
        <v>22</v>
      </c>
      <c r="E245" s="7" t="s">
        <v>14</v>
      </c>
      <c r="F245" s="9" t="n">
        <v>6762</v>
      </c>
      <c r="G245" s="9" t="n">
        <v>5723</v>
      </c>
    </row>
    <row r="246" customFormat="false" ht="15" hidden="false" customHeight="false" outlineLevel="0" collapsed="false">
      <c r="B246" s="7" t="s">
        <v>28</v>
      </c>
      <c r="C246" s="8" t="n">
        <v>7</v>
      </c>
      <c r="D246" s="7" t="s">
        <v>22</v>
      </c>
      <c r="E246" s="7" t="s">
        <v>15</v>
      </c>
      <c r="F246" s="9" t="n">
        <v>9512</v>
      </c>
      <c r="G246" s="9" t="n">
        <v>9194</v>
      </c>
    </row>
    <row r="247" customFormat="false" ht="15" hidden="false" customHeight="false" outlineLevel="0" collapsed="false">
      <c r="B247" s="7" t="s">
        <v>28</v>
      </c>
      <c r="C247" s="8" t="n">
        <v>7</v>
      </c>
      <c r="D247" s="7" t="s">
        <v>22</v>
      </c>
      <c r="E247" s="7" t="s">
        <v>16</v>
      </c>
      <c r="F247" s="9" t="n">
        <v>6457</v>
      </c>
      <c r="G247" s="9" t="n">
        <v>6567</v>
      </c>
    </row>
    <row r="248" customFormat="false" ht="15" hidden="false" customHeight="false" outlineLevel="0" collapsed="false">
      <c r="B248" s="7" t="s">
        <v>28</v>
      </c>
      <c r="C248" s="8" t="n">
        <v>7</v>
      </c>
      <c r="D248" s="7" t="s">
        <v>22</v>
      </c>
      <c r="E248" s="7" t="s">
        <v>17</v>
      </c>
      <c r="F248" s="9" t="n">
        <v>2523</v>
      </c>
      <c r="G248" s="9" t="n">
        <v>2923</v>
      </c>
    </row>
    <row r="249" customFormat="false" ht="15" hidden="false" customHeight="false" outlineLevel="0" collapsed="false">
      <c r="B249" s="7" t="s">
        <v>28</v>
      </c>
      <c r="C249" s="8" t="n">
        <v>7</v>
      </c>
      <c r="D249" s="7" t="s">
        <v>22</v>
      </c>
      <c r="E249" s="7" t="s">
        <v>18</v>
      </c>
      <c r="F249" s="9" t="n">
        <v>4320</v>
      </c>
      <c r="G249" s="9" t="n">
        <v>3180</v>
      </c>
    </row>
    <row r="250" customFormat="false" ht="15" hidden="false" customHeight="false" outlineLevel="0" collapsed="false">
      <c r="B250" s="7" t="s">
        <v>29</v>
      </c>
      <c r="C250" s="8" t="n">
        <v>8</v>
      </c>
      <c r="D250" s="7" t="s">
        <v>11</v>
      </c>
      <c r="E250" s="7" t="s">
        <v>12</v>
      </c>
      <c r="F250" s="9" t="n">
        <v>110576</v>
      </c>
      <c r="G250" s="9" t="n">
        <v>99737</v>
      </c>
    </row>
    <row r="251" customFormat="false" ht="15" hidden="false" customHeight="false" outlineLevel="0" collapsed="false">
      <c r="B251" s="7" t="s">
        <v>29</v>
      </c>
      <c r="C251" s="8" t="n">
        <v>8</v>
      </c>
      <c r="D251" s="7" t="s">
        <v>11</v>
      </c>
      <c r="E251" s="7" t="s">
        <v>13</v>
      </c>
      <c r="F251" s="9" t="n">
        <v>65529</v>
      </c>
      <c r="G251" s="9" t="n">
        <v>62283</v>
      </c>
    </row>
    <row r="252" customFormat="false" ht="15" hidden="false" customHeight="false" outlineLevel="0" collapsed="false">
      <c r="B252" s="7" t="s">
        <v>29</v>
      </c>
      <c r="C252" s="8" t="n">
        <v>8</v>
      </c>
      <c r="D252" s="7" t="s">
        <v>11</v>
      </c>
      <c r="E252" s="7" t="s">
        <v>14</v>
      </c>
      <c r="F252" s="9" t="n">
        <v>13179</v>
      </c>
      <c r="G252" s="9" t="n">
        <v>17514</v>
      </c>
    </row>
    <row r="253" customFormat="false" ht="15" hidden="false" customHeight="false" outlineLevel="0" collapsed="false">
      <c r="B253" s="7" t="s">
        <v>29</v>
      </c>
      <c r="C253" s="8" t="n">
        <v>8</v>
      </c>
      <c r="D253" s="7" t="s">
        <v>11</v>
      </c>
      <c r="E253" s="7" t="s">
        <v>15</v>
      </c>
      <c r="F253" s="9" t="n">
        <v>11377</v>
      </c>
      <c r="G253" s="9" t="n">
        <v>10540</v>
      </c>
    </row>
    <row r="254" customFormat="false" ht="15" hidden="false" customHeight="false" outlineLevel="0" collapsed="false">
      <c r="B254" s="7" t="s">
        <v>29</v>
      </c>
      <c r="C254" s="8" t="n">
        <v>8</v>
      </c>
      <c r="D254" s="7" t="s">
        <v>11</v>
      </c>
      <c r="E254" s="7" t="s">
        <v>16</v>
      </c>
      <c r="F254" s="9" t="n">
        <v>7369</v>
      </c>
      <c r="G254" s="9" t="n">
        <v>7712</v>
      </c>
    </row>
    <row r="255" customFormat="false" ht="15" hidden="false" customHeight="false" outlineLevel="0" collapsed="false">
      <c r="B255" s="7" t="s">
        <v>29</v>
      </c>
      <c r="C255" s="8" t="n">
        <v>8</v>
      </c>
      <c r="D255" s="7" t="s">
        <v>11</v>
      </c>
      <c r="E255" s="7" t="s">
        <v>17</v>
      </c>
      <c r="F255" s="9" t="n">
        <v>3920</v>
      </c>
      <c r="G255" s="9" t="n">
        <v>2899</v>
      </c>
    </row>
    <row r="256" customFormat="false" ht="15" hidden="false" customHeight="false" outlineLevel="0" collapsed="false">
      <c r="B256" s="7" t="s">
        <v>29</v>
      </c>
      <c r="C256" s="8" t="n">
        <v>8</v>
      </c>
      <c r="D256" s="7" t="s">
        <v>11</v>
      </c>
      <c r="E256" s="7" t="s">
        <v>18</v>
      </c>
      <c r="F256" s="9" t="n">
        <v>5397</v>
      </c>
      <c r="G256" s="9" t="n">
        <v>3782</v>
      </c>
    </row>
    <row r="257" customFormat="false" ht="15" hidden="false" customHeight="false" outlineLevel="0" collapsed="false">
      <c r="B257" s="7" t="s">
        <v>29</v>
      </c>
      <c r="C257" s="8" t="n">
        <v>8</v>
      </c>
      <c r="D257" s="7" t="s">
        <v>19</v>
      </c>
      <c r="E257" s="7" t="s">
        <v>12</v>
      </c>
      <c r="F257" s="9" t="n">
        <v>157515</v>
      </c>
      <c r="G257" s="9" t="n">
        <v>138248</v>
      </c>
    </row>
    <row r="258" customFormat="false" ht="15" hidden="false" customHeight="false" outlineLevel="0" collapsed="false">
      <c r="B258" s="7" t="s">
        <v>29</v>
      </c>
      <c r="C258" s="8" t="n">
        <v>8</v>
      </c>
      <c r="D258" s="7" t="s">
        <v>19</v>
      </c>
      <c r="E258" s="7" t="s">
        <v>13</v>
      </c>
      <c r="F258" s="9" t="n">
        <v>73708</v>
      </c>
      <c r="G258" s="9" t="n">
        <v>74840</v>
      </c>
    </row>
    <row r="259" customFormat="false" ht="15" hidden="false" customHeight="false" outlineLevel="0" collapsed="false">
      <c r="B259" s="7" t="s">
        <v>29</v>
      </c>
      <c r="C259" s="8" t="n">
        <v>8</v>
      </c>
      <c r="D259" s="7" t="s">
        <v>19</v>
      </c>
      <c r="E259" s="7" t="s">
        <v>14</v>
      </c>
      <c r="F259" s="9" t="n">
        <v>14469</v>
      </c>
      <c r="G259" s="9" t="n">
        <v>13550</v>
      </c>
    </row>
    <row r="260" customFormat="false" ht="15" hidden="false" customHeight="false" outlineLevel="0" collapsed="false">
      <c r="B260" s="7" t="s">
        <v>29</v>
      </c>
      <c r="C260" s="8" t="n">
        <v>8</v>
      </c>
      <c r="D260" s="7" t="s">
        <v>19</v>
      </c>
      <c r="E260" s="7" t="s">
        <v>15</v>
      </c>
      <c r="F260" s="9" t="n">
        <v>17037</v>
      </c>
      <c r="G260" s="9" t="n">
        <v>11984</v>
      </c>
    </row>
    <row r="261" customFormat="false" ht="15" hidden="false" customHeight="false" outlineLevel="0" collapsed="false">
      <c r="B261" s="7" t="s">
        <v>29</v>
      </c>
      <c r="C261" s="8" t="n">
        <v>8</v>
      </c>
      <c r="D261" s="7" t="s">
        <v>19</v>
      </c>
      <c r="E261" s="7" t="s">
        <v>16</v>
      </c>
      <c r="F261" s="9" t="n">
        <v>10623</v>
      </c>
      <c r="G261" s="9" t="n">
        <v>10959</v>
      </c>
    </row>
    <row r="262" customFormat="false" ht="15" hidden="false" customHeight="false" outlineLevel="0" collapsed="false">
      <c r="B262" s="7" t="s">
        <v>29</v>
      </c>
      <c r="C262" s="8" t="n">
        <v>8</v>
      </c>
      <c r="D262" s="7" t="s">
        <v>19</v>
      </c>
      <c r="E262" s="7" t="s">
        <v>17</v>
      </c>
      <c r="F262" s="9" t="n">
        <v>3883</v>
      </c>
      <c r="G262" s="9" t="n">
        <v>3647</v>
      </c>
    </row>
    <row r="263" customFormat="false" ht="15" hidden="false" customHeight="false" outlineLevel="0" collapsed="false">
      <c r="B263" s="7" t="s">
        <v>29</v>
      </c>
      <c r="C263" s="8" t="n">
        <v>8</v>
      </c>
      <c r="D263" s="7" t="s">
        <v>19</v>
      </c>
      <c r="E263" s="7" t="s">
        <v>18</v>
      </c>
      <c r="F263" s="9" t="n">
        <v>5011</v>
      </c>
      <c r="G263" s="9" t="n">
        <v>5087</v>
      </c>
    </row>
    <row r="264" customFormat="false" ht="15" hidden="false" customHeight="false" outlineLevel="0" collapsed="false">
      <c r="B264" s="7" t="s">
        <v>29</v>
      </c>
      <c r="C264" s="8" t="n">
        <v>8</v>
      </c>
      <c r="D264" s="7" t="s">
        <v>20</v>
      </c>
      <c r="E264" s="7" t="s">
        <v>12</v>
      </c>
      <c r="F264" s="9" t="n">
        <v>89673</v>
      </c>
      <c r="G264" s="9" t="n">
        <v>85225</v>
      </c>
    </row>
    <row r="265" customFormat="false" ht="15" hidden="false" customHeight="false" outlineLevel="0" collapsed="false">
      <c r="B265" s="7" t="s">
        <v>29</v>
      </c>
      <c r="C265" s="8" t="n">
        <v>8</v>
      </c>
      <c r="D265" s="7" t="s">
        <v>20</v>
      </c>
      <c r="E265" s="7" t="s">
        <v>13</v>
      </c>
      <c r="F265" s="9" t="n">
        <v>42865</v>
      </c>
      <c r="G265" s="9" t="n">
        <v>41192</v>
      </c>
    </row>
    <row r="266" customFormat="false" ht="15" hidden="false" customHeight="false" outlineLevel="0" collapsed="false">
      <c r="B266" s="7" t="s">
        <v>29</v>
      </c>
      <c r="C266" s="8" t="n">
        <v>8</v>
      </c>
      <c r="D266" s="7" t="s">
        <v>20</v>
      </c>
      <c r="E266" s="7" t="s">
        <v>14</v>
      </c>
      <c r="F266" s="9" t="n">
        <v>11101</v>
      </c>
      <c r="G266" s="9" t="n">
        <v>14090</v>
      </c>
    </row>
    <row r="267" customFormat="false" ht="15" hidden="false" customHeight="false" outlineLevel="0" collapsed="false">
      <c r="B267" s="7" t="s">
        <v>29</v>
      </c>
      <c r="C267" s="8" t="n">
        <v>8</v>
      </c>
      <c r="D267" s="7" t="s">
        <v>20</v>
      </c>
      <c r="E267" s="7" t="s">
        <v>15</v>
      </c>
      <c r="F267" s="9" t="n">
        <v>5643</v>
      </c>
      <c r="G267" s="9" t="n">
        <v>6547</v>
      </c>
    </row>
    <row r="268" customFormat="false" ht="15" hidden="false" customHeight="false" outlineLevel="0" collapsed="false">
      <c r="B268" s="7" t="s">
        <v>29</v>
      </c>
      <c r="C268" s="8" t="n">
        <v>8</v>
      </c>
      <c r="D268" s="7" t="s">
        <v>20</v>
      </c>
      <c r="E268" s="7" t="s">
        <v>16</v>
      </c>
      <c r="F268" s="9" t="n">
        <v>8038</v>
      </c>
      <c r="G268" s="9" t="n">
        <v>8266</v>
      </c>
    </row>
    <row r="269" customFormat="false" ht="15" hidden="false" customHeight="false" outlineLevel="0" collapsed="false">
      <c r="B269" s="7" t="s">
        <v>29</v>
      </c>
      <c r="C269" s="8" t="n">
        <v>8</v>
      </c>
      <c r="D269" s="7" t="s">
        <v>20</v>
      </c>
      <c r="E269" s="7" t="s">
        <v>17</v>
      </c>
      <c r="F269" s="9" t="n">
        <v>3998</v>
      </c>
      <c r="G269" s="9" t="n">
        <v>3712</v>
      </c>
    </row>
    <row r="270" customFormat="false" ht="15" hidden="false" customHeight="false" outlineLevel="0" collapsed="false">
      <c r="B270" s="7" t="s">
        <v>29</v>
      </c>
      <c r="C270" s="8" t="n">
        <v>8</v>
      </c>
      <c r="D270" s="7" t="s">
        <v>20</v>
      </c>
      <c r="E270" s="7" t="s">
        <v>18</v>
      </c>
      <c r="F270" s="9" t="n">
        <v>5103</v>
      </c>
      <c r="G270" s="9" t="n">
        <v>6514</v>
      </c>
    </row>
    <row r="271" customFormat="false" ht="15" hidden="false" customHeight="false" outlineLevel="0" collapsed="false">
      <c r="B271" s="7" t="s">
        <v>29</v>
      </c>
      <c r="C271" s="8" t="n">
        <v>8</v>
      </c>
      <c r="D271" s="7" t="s">
        <v>21</v>
      </c>
      <c r="E271" s="7" t="s">
        <v>12</v>
      </c>
      <c r="F271" s="9" t="n">
        <v>67432</v>
      </c>
      <c r="G271" s="9" t="n">
        <v>60643</v>
      </c>
    </row>
    <row r="272" customFormat="false" ht="15" hidden="false" customHeight="false" outlineLevel="0" collapsed="false">
      <c r="B272" s="7" t="s">
        <v>29</v>
      </c>
      <c r="C272" s="8" t="n">
        <v>8</v>
      </c>
      <c r="D272" s="7" t="s">
        <v>21</v>
      </c>
      <c r="E272" s="7" t="s">
        <v>13</v>
      </c>
      <c r="F272" s="9" t="n">
        <v>26845</v>
      </c>
      <c r="G272" s="9" t="n">
        <v>25655</v>
      </c>
    </row>
    <row r="273" customFormat="false" ht="15" hidden="false" customHeight="false" outlineLevel="0" collapsed="false">
      <c r="B273" s="7" t="s">
        <v>29</v>
      </c>
      <c r="C273" s="8" t="n">
        <v>8</v>
      </c>
      <c r="D273" s="7" t="s">
        <v>21</v>
      </c>
      <c r="E273" s="7" t="s">
        <v>14</v>
      </c>
      <c r="F273" s="9" t="n">
        <v>8905</v>
      </c>
      <c r="G273" s="9" t="n">
        <v>10625</v>
      </c>
    </row>
    <row r="274" customFormat="false" ht="15" hidden="false" customHeight="false" outlineLevel="0" collapsed="false">
      <c r="B274" s="7" t="s">
        <v>29</v>
      </c>
      <c r="C274" s="8" t="n">
        <v>8</v>
      </c>
      <c r="D274" s="7" t="s">
        <v>21</v>
      </c>
      <c r="E274" s="7" t="s">
        <v>15</v>
      </c>
      <c r="F274" s="9" t="n">
        <v>5521</v>
      </c>
      <c r="G274" s="9" t="n">
        <v>6289</v>
      </c>
    </row>
    <row r="275" customFormat="false" ht="15" hidden="false" customHeight="false" outlineLevel="0" collapsed="false">
      <c r="B275" s="7" t="s">
        <v>29</v>
      </c>
      <c r="C275" s="8" t="n">
        <v>8</v>
      </c>
      <c r="D275" s="7" t="s">
        <v>21</v>
      </c>
      <c r="E275" s="7" t="s">
        <v>16</v>
      </c>
      <c r="F275" s="9" t="n">
        <v>5322</v>
      </c>
      <c r="G275" s="9" t="n">
        <v>5488</v>
      </c>
    </row>
    <row r="276" customFormat="false" ht="15" hidden="false" customHeight="false" outlineLevel="0" collapsed="false">
      <c r="B276" s="7" t="s">
        <v>29</v>
      </c>
      <c r="C276" s="8" t="n">
        <v>8</v>
      </c>
      <c r="D276" s="7" t="s">
        <v>21</v>
      </c>
      <c r="E276" s="7" t="s">
        <v>17</v>
      </c>
      <c r="F276" s="9" t="n">
        <v>1542</v>
      </c>
      <c r="G276" s="9" t="n">
        <v>2314</v>
      </c>
    </row>
    <row r="277" customFormat="false" ht="15" hidden="false" customHeight="false" outlineLevel="0" collapsed="false">
      <c r="B277" s="7" t="s">
        <v>29</v>
      </c>
      <c r="C277" s="8" t="n">
        <v>8</v>
      </c>
      <c r="D277" s="7" t="s">
        <v>21</v>
      </c>
      <c r="E277" s="7" t="s">
        <v>18</v>
      </c>
      <c r="F277" s="9" t="n">
        <v>4278</v>
      </c>
      <c r="G277" s="9" t="n">
        <v>4940</v>
      </c>
    </row>
    <row r="278" customFormat="false" ht="15" hidden="false" customHeight="false" outlineLevel="0" collapsed="false">
      <c r="B278" s="7" t="s">
        <v>29</v>
      </c>
      <c r="C278" s="8" t="n">
        <v>8</v>
      </c>
      <c r="D278" s="7" t="s">
        <v>22</v>
      </c>
      <c r="E278" s="7" t="s">
        <v>12</v>
      </c>
      <c r="F278" s="9" t="n">
        <v>64842</v>
      </c>
      <c r="G278" s="9" t="n">
        <v>72799</v>
      </c>
    </row>
    <row r="279" customFormat="false" ht="15" hidden="false" customHeight="false" outlineLevel="0" collapsed="false">
      <c r="B279" s="7" t="s">
        <v>29</v>
      </c>
      <c r="C279" s="8" t="n">
        <v>8</v>
      </c>
      <c r="D279" s="7" t="s">
        <v>22</v>
      </c>
      <c r="E279" s="7" t="s">
        <v>13</v>
      </c>
      <c r="F279" s="9" t="n">
        <v>47310</v>
      </c>
      <c r="G279" s="9" t="n">
        <v>49852</v>
      </c>
    </row>
    <row r="280" customFormat="false" ht="15" hidden="false" customHeight="false" outlineLevel="0" collapsed="false">
      <c r="B280" s="7" t="s">
        <v>29</v>
      </c>
      <c r="C280" s="8" t="n">
        <v>8</v>
      </c>
      <c r="D280" s="7" t="s">
        <v>22</v>
      </c>
      <c r="E280" s="7" t="s">
        <v>14</v>
      </c>
      <c r="F280" s="9" t="n">
        <v>11060</v>
      </c>
      <c r="G280" s="9" t="n">
        <v>13002</v>
      </c>
    </row>
    <row r="281" customFormat="false" ht="15" hidden="false" customHeight="false" outlineLevel="0" collapsed="false">
      <c r="B281" s="7" t="s">
        <v>29</v>
      </c>
      <c r="C281" s="8" t="n">
        <v>8</v>
      </c>
      <c r="D281" s="7" t="s">
        <v>22</v>
      </c>
      <c r="E281" s="7" t="s">
        <v>15</v>
      </c>
      <c r="F281" s="9" t="n">
        <v>8543</v>
      </c>
      <c r="G281" s="9" t="n">
        <v>9824</v>
      </c>
    </row>
    <row r="282" customFormat="false" ht="15" hidden="false" customHeight="false" outlineLevel="0" collapsed="false">
      <c r="B282" s="7" t="s">
        <v>29</v>
      </c>
      <c r="C282" s="8" t="n">
        <v>8</v>
      </c>
      <c r="D282" s="7" t="s">
        <v>22</v>
      </c>
      <c r="E282" s="7" t="s">
        <v>16</v>
      </c>
      <c r="F282" s="9" t="n">
        <v>5078</v>
      </c>
      <c r="G282" s="9" t="n">
        <v>4839</v>
      </c>
    </row>
    <row r="283" customFormat="false" ht="15" hidden="false" customHeight="false" outlineLevel="0" collapsed="false">
      <c r="B283" s="7" t="s">
        <v>29</v>
      </c>
      <c r="C283" s="8" t="n">
        <v>8</v>
      </c>
      <c r="D283" s="7" t="s">
        <v>22</v>
      </c>
      <c r="E283" s="7" t="s">
        <v>17</v>
      </c>
      <c r="F283" s="9" t="n">
        <v>2036</v>
      </c>
      <c r="G283" s="9" t="n">
        <v>2444</v>
      </c>
    </row>
    <row r="284" customFormat="false" ht="15" hidden="false" customHeight="false" outlineLevel="0" collapsed="false">
      <c r="B284" s="7" t="s">
        <v>29</v>
      </c>
      <c r="C284" s="8" t="n">
        <v>8</v>
      </c>
      <c r="D284" s="7" t="s">
        <v>22</v>
      </c>
      <c r="E284" s="7" t="s">
        <v>18</v>
      </c>
      <c r="F284" s="9" t="n">
        <v>3087</v>
      </c>
      <c r="G284" s="9" t="n">
        <v>3090</v>
      </c>
    </row>
    <row r="285" customFormat="false" ht="15" hidden="false" customHeight="false" outlineLevel="0" collapsed="false">
      <c r="B285" s="7" t="s">
        <v>30</v>
      </c>
      <c r="C285" s="8" t="n">
        <v>9</v>
      </c>
      <c r="D285" s="7" t="s">
        <v>11</v>
      </c>
      <c r="E285" s="7" t="s">
        <v>12</v>
      </c>
      <c r="F285" s="9" t="n">
        <v>131498</v>
      </c>
      <c r="G285" s="9" t="n">
        <v>136010</v>
      </c>
    </row>
    <row r="286" customFormat="false" ht="15" hidden="false" customHeight="false" outlineLevel="0" collapsed="false">
      <c r="B286" s="7" t="s">
        <v>30</v>
      </c>
      <c r="C286" s="8" t="n">
        <v>9</v>
      </c>
      <c r="D286" s="7" t="s">
        <v>11</v>
      </c>
      <c r="E286" s="7" t="s">
        <v>13</v>
      </c>
      <c r="F286" s="9" t="n">
        <v>48740</v>
      </c>
      <c r="G286" s="9" t="n">
        <v>50270</v>
      </c>
    </row>
    <row r="287" customFormat="false" ht="15" hidden="false" customHeight="false" outlineLevel="0" collapsed="false">
      <c r="B287" s="7" t="s">
        <v>30</v>
      </c>
      <c r="C287" s="8" t="n">
        <v>9</v>
      </c>
      <c r="D287" s="7" t="s">
        <v>11</v>
      </c>
      <c r="E287" s="7" t="s">
        <v>14</v>
      </c>
      <c r="F287" s="9" t="n">
        <v>16291</v>
      </c>
      <c r="G287" s="9" t="n">
        <v>15224</v>
      </c>
    </row>
    <row r="288" customFormat="false" ht="15" hidden="false" customHeight="false" outlineLevel="0" collapsed="false">
      <c r="B288" s="7" t="s">
        <v>30</v>
      </c>
      <c r="C288" s="8" t="n">
        <v>9</v>
      </c>
      <c r="D288" s="7" t="s">
        <v>11</v>
      </c>
      <c r="E288" s="7" t="s">
        <v>15</v>
      </c>
      <c r="F288" s="9" t="n">
        <v>8592</v>
      </c>
      <c r="G288" s="9" t="n">
        <v>6034</v>
      </c>
    </row>
    <row r="289" customFormat="false" ht="15" hidden="false" customHeight="false" outlineLevel="0" collapsed="false">
      <c r="B289" s="7" t="s">
        <v>30</v>
      </c>
      <c r="C289" s="8" t="n">
        <v>9</v>
      </c>
      <c r="D289" s="7" t="s">
        <v>11</v>
      </c>
      <c r="E289" s="7" t="s">
        <v>16</v>
      </c>
      <c r="F289" s="9" t="n">
        <v>7544</v>
      </c>
      <c r="G289" s="9" t="n">
        <v>7731</v>
      </c>
    </row>
    <row r="290" customFormat="false" ht="15" hidden="false" customHeight="false" outlineLevel="0" collapsed="false">
      <c r="B290" s="7" t="s">
        <v>30</v>
      </c>
      <c r="C290" s="8" t="n">
        <v>9</v>
      </c>
      <c r="D290" s="7" t="s">
        <v>11</v>
      </c>
      <c r="E290" s="7" t="s">
        <v>17</v>
      </c>
      <c r="F290" s="9" t="n">
        <v>4872</v>
      </c>
      <c r="G290" s="9" t="n">
        <v>7247</v>
      </c>
    </row>
    <row r="291" customFormat="false" ht="15" hidden="false" customHeight="false" outlineLevel="0" collapsed="false">
      <c r="B291" s="7" t="s">
        <v>30</v>
      </c>
      <c r="C291" s="8" t="n">
        <v>9</v>
      </c>
      <c r="D291" s="7" t="s">
        <v>11</v>
      </c>
      <c r="E291" s="7" t="s">
        <v>18</v>
      </c>
      <c r="F291" s="9" t="n">
        <v>4503</v>
      </c>
      <c r="G291" s="9" t="n">
        <v>5527</v>
      </c>
    </row>
    <row r="292" customFormat="false" ht="15" hidden="false" customHeight="false" outlineLevel="0" collapsed="false">
      <c r="B292" s="7" t="s">
        <v>30</v>
      </c>
      <c r="C292" s="8" t="n">
        <v>9</v>
      </c>
      <c r="D292" s="7" t="s">
        <v>19</v>
      </c>
      <c r="E292" s="7" t="s">
        <v>12</v>
      </c>
      <c r="F292" s="9" t="n">
        <v>126492</v>
      </c>
      <c r="G292" s="9" t="n">
        <v>138646</v>
      </c>
    </row>
    <row r="293" customFormat="false" ht="15" hidden="false" customHeight="false" outlineLevel="0" collapsed="false">
      <c r="B293" s="7" t="s">
        <v>30</v>
      </c>
      <c r="C293" s="8" t="n">
        <v>9</v>
      </c>
      <c r="D293" s="7" t="s">
        <v>19</v>
      </c>
      <c r="E293" s="7" t="s">
        <v>13</v>
      </c>
      <c r="F293" s="9" t="n">
        <v>83290</v>
      </c>
      <c r="G293" s="9" t="n">
        <v>81856</v>
      </c>
    </row>
    <row r="294" customFormat="false" ht="15" hidden="false" customHeight="false" outlineLevel="0" collapsed="false">
      <c r="B294" s="7" t="s">
        <v>30</v>
      </c>
      <c r="C294" s="8" t="n">
        <v>9</v>
      </c>
      <c r="D294" s="7" t="s">
        <v>19</v>
      </c>
      <c r="E294" s="7" t="s">
        <v>14</v>
      </c>
      <c r="F294" s="9" t="n">
        <v>12913</v>
      </c>
      <c r="G294" s="9" t="n">
        <v>16339</v>
      </c>
    </row>
    <row r="295" customFormat="false" ht="15" hidden="false" customHeight="false" outlineLevel="0" collapsed="false">
      <c r="B295" s="7" t="s">
        <v>30</v>
      </c>
      <c r="C295" s="8" t="n">
        <v>9</v>
      </c>
      <c r="D295" s="7" t="s">
        <v>19</v>
      </c>
      <c r="E295" s="7" t="s">
        <v>15</v>
      </c>
      <c r="F295" s="9" t="n">
        <v>10384</v>
      </c>
      <c r="G295" s="9" t="n">
        <v>12570</v>
      </c>
    </row>
    <row r="296" customFormat="false" ht="15" hidden="false" customHeight="false" outlineLevel="0" collapsed="false">
      <c r="B296" s="7" t="s">
        <v>30</v>
      </c>
      <c r="C296" s="8" t="n">
        <v>9</v>
      </c>
      <c r="D296" s="7" t="s">
        <v>19</v>
      </c>
      <c r="E296" s="7" t="s">
        <v>16</v>
      </c>
      <c r="F296" s="9" t="n">
        <v>10260</v>
      </c>
      <c r="G296" s="9" t="n">
        <v>9983</v>
      </c>
    </row>
    <row r="297" customFormat="false" ht="15" hidden="false" customHeight="false" outlineLevel="0" collapsed="false">
      <c r="B297" s="7" t="s">
        <v>30</v>
      </c>
      <c r="C297" s="8" t="n">
        <v>9</v>
      </c>
      <c r="D297" s="7" t="s">
        <v>19</v>
      </c>
      <c r="E297" s="7" t="s">
        <v>17</v>
      </c>
      <c r="F297" s="9" t="n">
        <v>6993</v>
      </c>
      <c r="G297" s="9" t="n">
        <v>11002</v>
      </c>
    </row>
    <row r="298" customFormat="false" ht="15" hidden="false" customHeight="false" outlineLevel="0" collapsed="false">
      <c r="B298" s="7" t="s">
        <v>30</v>
      </c>
      <c r="C298" s="8" t="n">
        <v>9</v>
      </c>
      <c r="D298" s="7" t="s">
        <v>19</v>
      </c>
      <c r="E298" s="7" t="s">
        <v>18</v>
      </c>
      <c r="F298" s="9" t="n">
        <v>10569</v>
      </c>
      <c r="G298" s="9" t="n">
        <v>14547</v>
      </c>
    </row>
    <row r="299" customFormat="false" ht="15" hidden="false" customHeight="false" outlineLevel="0" collapsed="false">
      <c r="B299" s="7" t="s">
        <v>30</v>
      </c>
      <c r="C299" s="8" t="n">
        <v>9</v>
      </c>
      <c r="D299" s="7" t="s">
        <v>20</v>
      </c>
      <c r="E299" s="7" t="s">
        <v>12</v>
      </c>
      <c r="F299" s="9" t="n">
        <v>76526</v>
      </c>
      <c r="G299" s="9" t="n">
        <v>77143</v>
      </c>
    </row>
    <row r="300" customFormat="false" ht="15" hidden="false" customHeight="false" outlineLevel="0" collapsed="false">
      <c r="B300" s="7" t="s">
        <v>30</v>
      </c>
      <c r="C300" s="8" t="n">
        <v>9</v>
      </c>
      <c r="D300" s="7" t="s">
        <v>20</v>
      </c>
      <c r="E300" s="7" t="s">
        <v>13</v>
      </c>
      <c r="F300" s="9" t="n">
        <v>44472</v>
      </c>
      <c r="G300" s="9" t="n">
        <v>46682</v>
      </c>
    </row>
    <row r="301" customFormat="false" ht="15" hidden="false" customHeight="false" outlineLevel="0" collapsed="false">
      <c r="B301" s="7" t="s">
        <v>30</v>
      </c>
      <c r="C301" s="8" t="n">
        <v>9</v>
      </c>
      <c r="D301" s="7" t="s">
        <v>20</v>
      </c>
      <c r="E301" s="7" t="s">
        <v>14</v>
      </c>
      <c r="F301" s="9" t="n">
        <v>11748</v>
      </c>
      <c r="G301" s="9" t="n">
        <v>13487</v>
      </c>
    </row>
    <row r="302" customFormat="false" ht="15" hidden="false" customHeight="false" outlineLevel="0" collapsed="false">
      <c r="B302" s="7" t="s">
        <v>30</v>
      </c>
      <c r="C302" s="8" t="n">
        <v>9</v>
      </c>
      <c r="D302" s="7" t="s">
        <v>20</v>
      </c>
      <c r="E302" s="7" t="s">
        <v>15</v>
      </c>
      <c r="F302" s="9" t="n">
        <v>5961</v>
      </c>
      <c r="G302" s="9" t="n">
        <v>4495</v>
      </c>
    </row>
    <row r="303" customFormat="false" ht="15" hidden="false" customHeight="false" outlineLevel="0" collapsed="false">
      <c r="B303" s="7" t="s">
        <v>30</v>
      </c>
      <c r="C303" s="8" t="n">
        <v>9</v>
      </c>
      <c r="D303" s="7" t="s">
        <v>20</v>
      </c>
      <c r="E303" s="7" t="s">
        <v>16</v>
      </c>
      <c r="F303" s="9" t="n">
        <v>5942</v>
      </c>
      <c r="G303" s="9" t="n">
        <v>5842</v>
      </c>
    </row>
    <row r="304" customFormat="false" ht="15" hidden="false" customHeight="false" outlineLevel="0" collapsed="false">
      <c r="B304" s="7" t="s">
        <v>30</v>
      </c>
      <c r="C304" s="8" t="n">
        <v>9</v>
      </c>
      <c r="D304" s="7" t="s">
        <v>20</v>
      </c>
      <c r="E304" s="7" t="s">
        <v>17</v>
      </c>
      <c r="F304" s="9" t="n">
        <v>4201</v>
      </c>
      <c r="G304" s="9" t="n">
        <v>5534</v>
      </c>
    </row>
    <row r="305" customFormat="false" ht="15" hidden="false" customHeight="false" outlineLevel="0" collapsed="false">
      <c r="B305" s="7" t="s">
        <v>30</v>
      </c>
      <c r="C305" s="8" t="n">
        <v>9</v>
      </c>
      <c r="D305" s="7" t="s">
        <v>20</v>
      </c>
      <c r="E305" s="7" t="s">
        <v>18</v>
      </c>
      <c r="F305" s="9" t="n">
        <v>4943</v>
      </c>
      <c r="G305" s="9" t="n">
        <v>5916</v>
      </c>
    </row>
    <row r="306" customFormat="false" ht="15" hidden="false" customHeight="false" outlineLevel="0" collapsed="false">
      <c r="B306" s="7" t="s">
        <v>30</v>
      </c>
      <c r="C306" s="8" t="n">
        <v>9</v>
      </c>
      <c r="D306" s="7" t="s">
        <v>21</v>
      </c>
      <c r="E306" s="7" t="s">
        <v>12</v>
      </c>
      <c r="F306" s="9" t="n">
        <v>53247</v>
      </c>
      <c r="G306" s="9" t="n">
        <v>45479</v>
      </c>
    </row>
    <row r="307" customFormat="false" ht="15" hidden="false" customHeight="false" outlineLevel="0" collapsed="false">
      <c r="B307" s="7" t="s">
        <v>30</v>
      </c>
      <c r="C307" s="8" t="n">
        <v>9</v>
      </c>
      <c r="D307" s="7" t="s">
        <v>21</v>
      </c>
      <c r="E307" s="7" t="s">
        <v>13</v>
      </c>
      <c r="F307" s="9" t="n">
        <v>25192</v>
      </c>
      <c r="G307" s="9" t="n">
        <v>25523</v>
      </c>
    </row>
    <row r="308" customFormat="false" ht="15" hidden="false" customHeight="false" outlineLevel="0" collapsed="false">
      <c r="B308" s="7" t="s">
        <v>30</v>
      </c>
      <c r="C308" s="8" t="n">
        <v>9</v>
      </c>
      <c r="D308" s="7" t="s">
        <v>21</v>
      </c>
      <c r="E308" s="7" t="s">
        <v>14</v>
      </c>
      <c r="F308" s="9" t="n">
        <v>8103</v>
      </c>
      <c r="G308" s="9" t="n">
        <v>6925</v>
      </c>
    </row>
    <row r="309" customFormat="false" ht="15" hidden="false" customHeight="false" outlineLevel="0" collapsed="false">
      <c r="B309" s="7" t="s">
        <v>30</v>
      </c>
      <c r="C309" s="8" t="n">
        <v>9</v>
      </c>
      <c r="D309" s="7" t="s">
        <v>21</v>
      </c>
      <c r="E309" s="7" t="s">
        <v>15</v>
      </c>
      <c r="F309" s="9" t="n">
        <v>4069</v>
      </c>
      <c r="G309" s="9" t="n">
        <v>4772</v>
      </c>
    </row>
    <row r="310" customFormat="false" ht="15" hidden="false" customHeight="false" outlineLevel="0" collapsed="false">
      <c r="B310" s="7" t="s">
        <v>30</v>
      </c>
      <c r="C310" s="8" t="n">
        <v>9</v>
      </c>
      <c r="D310" s="7" t="s">
        <v>21</v>
      </c>
      <c r="E310" s="7" t="s">
        <v>16</v>
      </c>
      <c r="F310" s="9" t="n">
        <v>4314</v>
      </c>
      <c r="G310" s="9" t="n">
        <v>4404</v>
      </c>
    </row>
    <row r="311" customFormat="false" ht="15" hidden="false" customHeight="false" outlineLevel="0" collapsed="false">
      <c r="B311" s="7" t="s">
        <v>30</v>
      </c>
      <c r="C311" s="8" t="n">
        <v>9</v>
      </c>
      <c r="D311" s="7" t="s">
        <v>21</v>
      </c>
      <c r="E311" s="7" t="s">
        <v>17</v>
      </c>
      <c r="F311" s="9" t="n">
        <v>1901</v>
      </c>
      <c r="G311" s="9" t="n">
        <v>1922</v>
      </c>
    </row>
    <row r="312" customFormat="false" ht="15" hidden="false" customHeight="false" outlineLevel="0" collapsed="false">
      <c r="B312" s="7" t="s">
        <v>30</v>
      </c>
      <c r="C312" s="8" t="n">
        <v>9</v>
      </c>
      <c r="D312" s="7" t="s">
        <v>21</v>
      </c>
      <c r="E312" s="7" t="s">
        <v>18</v>
      </c>
      <c r="F312" s="9" t="n">
        <v>4092</v>
      </c>
      <c r="G312" s="9" t="n">
        <v>5375</v>
      </c>
    </row>
    <row r="313" customFormat="false" ht="15" hidden="false" customHeight="false" outlineLevel="0" collapsed="false">
      <c r="B313" s="7" t="s">
        <v>30</v>
      </c>
      <c r="C313" s="8" t="n">
        <v>9</v>
      </c>
      <c r="D313" s="7" t="s">
        <v>22</v>
      </c>
      <c r="E313" s="7" t="s">
        <v>12</v>
      </c>
      <c r="F313" s="9" t="n">
        <v>92787</v>
      </c>
      <c r="G313" s="9" t="n">
        <v>84969</v>
      </c>
    </row>
    <row r="314" customFormat="false" ht="15" hidden="false" customHeight="false" outlineLevel="0" collapsed="false">
      <c r="B314" s="7" t="s">
        <v>30</v>
      </c>
      <c r="C314" s="8" t="n">
        <v>9</v>
      </c>
      <c r="D314" s="7" t="s">
        <v>22</v>
      </c>
      <c r="E314" s="7" t="s">
        <v>13</v>
      </c>
      <c r="F314" s="9" t="n">
        <v>34250</v>
      </c>
      <c r="G314" s="9" t="n">
        <v>36706</v>
      </c>
    </row>
    <row r="315" customFormat="false" ht="15" hidden="false" customHeight="false" outlineLevel="0" collapsed="false">
      <c r="B315" s="7" t="s">
        <v>30</v>
      </c>
      <c r="C315" s="8" t="n">
        <v>9</v>
      </c>
      <c r="D315" s="7" t="s">
        <v>22</v>
      </c>
      <c r="E315" s="7" t="s">
        <v>14</v>
      </c>
      <c r="F315" s="9" t="n">
        <v>6514</v>
      </c>
      <c r="G315" s="9" t="n">
        <v>6248</v>
      </c>
    </row>
    <row r="316" customFormat="false" ht="15" hidden="false" customHeight="false" outlineLevel="0" collapsed="false">
      <c r="B316" s="7" t="s">
        <v>30</v>
      </c>
      <c r="C316" s="8" t="n">
        <v>9</v>
      </c>
      <c r="D316" s="7" t="s">
        <v>22</v>
      </c>
      <c r="E316" s="7" t="s">
        <v>15</v>
      </c>
      <c r="F316" s="9" t="n">
        <v>4500</v>
      </c>
      <c r="G316" s="9" t="n">
        <v>5732</v>
      </c>
    </row>
    <row r="317" customFormat="false" ht="15" hidden="false" customHeight="false" outlineLevel="0" collapsed="false">
      <c r="B317" s="7" t="s">
        <v>30</v>
      </c>
      <c r="C317" s="8" t="n">
        <v>9</v>
      </c>
      <c r="D317" s="7" t="s">
        <v>22</v>
      </c>
      <c r="E317" s="7" t="s">
        <v>16</v>
      </c>
      <c r="F317" s="9" t="n">
        <v>6272</v>
      </c>
      <c r="G317" s="9" t="n">
        <v>6581</v>
      </c>
    </row>
    <row r="318" customFormat="false" ht="15" hidden="false" customHeight="false" outlineLevel="0" collapsed="false">
      <c r="B318" s="7" t="s">
        <v>30</v>
      </c>
      <c r="C318" s="8" t="n">
        <v>9</v>
      </c>
      <c r="D318" s="7" t="s">
        <v>22</v>
      </c>
      <c r="E318" s="7" t="s">
        <v>17</v>
      </c>
      <c r="F318" s="9" t="n">
        <v>2867</v>
      </c>
      <c r="G318" s="9" t="n">
        <v>2095</v>
      </c>
    </row>
    <row r="319" customFormat="false" ht="15" hidden="false" customHeight="false" outlineLevel="0" collapsed="false">
      <c r="B319" s="7" t="s">
        <v>30</v>
      </c>
      <c r="C319" s="8" t="n">
        <v>9</v>
      </c>
      <c r="D319" s="7" t="s">
        <v>22</v>
      </c>
      <c r="E319" s="7" t="s">
        <v>18</v>
      </c>
      <c r="F319" s="9" t="n">
        <v>3780</v>
      </c>
      <c r="G319" s="9" t="n">
        <v>2871</v>
      </c>
    </row>
    <row r="320" customFormat="false" ht="15" hidden="false" customHeight="false" outlineLevel="0" collapsed="false">
      <c r="B320" s="7" t="s">
        <v>31</v>
      </c>
      <c r="C320" s="8" t="n">
        <v>10</v>
      </c>
      <c r="D320" s="7" t="s">
        <v>11</v>
      </c>
      <c r="E320" s="7" t="s">
        <v>12</v>
      </c>
      <c r="F320" s="9" t="n">
        <v>103101</v>
      </c>
      <c r="G320" s="9" t="n">
        <v>92458</v>
      </c>
    </row>
    <row r="321" customFormat="false" ht="15" hidden="false" customHeight="false" outlineLevel="0" collapsed="false">
      <c r="B321" s="7" t="s">
        <v>31</v>
      </c>
      <c r="C321" s="8" t="n">
        <v>10</v>
      </c>
      <c r="D321" s="7" t="s">
        <v>11</v>
      </c>
      <c r="E321" s="7" t="s">
        <v>13</v>
      </c>
      <c r="F321" s="9" t="n">
        <v>68606</v>
      </c>
      <c r="G321" s="9" t="n">
        <v>67510</v>
      </c>
    </row>
    <row r="322" customFormat="false" ht="15" hidden="false" customHeight="false" outlineLevel="0" collapsed="false">
      <c r="B322" s="7" t="s">
        <v>31</v>
      </c>
      <c r="C322" s="8" t="n">
        <v>10</v>
      </c>
      <c r="D322" s="7" t="s">
        <v>11</v>
      </c>
      <c r="E322" s="7" t="s">
        <v>14</v>
      </c>
      <c r="F322" s="9" t="n">
        <v>13134</v>
      </c>
      <c r="G322" s="9" t="n">
        <v>11465</v>
      </c>
    </row>
    <row r="323" customFormat="false" ht="15" hidden="false" customHeight="false" outlineLevel="0" collapsed="false">
      <c r="B323" s="7" t="s">
        <v>31</v>
      </c>
      <c r="C323" s="8" t="n">
        <v>10</v>
      </c>
      <c r="D323" s="7" t="s">
        <v>11</v>
      </c>
      <c r="E323" s="7" t="s">
        <v>15</v>
      </c>
      <c r="F323" s="9" t="n">
        <v>14062</v>
      </c>
      <c r="G323" s="9" t="n">
        <v>16061</v>
      </c>
    </row>
    <row r="324" customFormat="false" ht="15" hidden="false" customHeight="false" outlineLevel="0" collapsed="false">
      <c r="B324" s="7" t="s">
        <v>31</v>
      </c>
      <c r="C324" s="8" t="n">
        <v>10</v>
      </c>
      <c r="D324" s="7" t="s">
        <v>11</v>
      </c>
      <c r="E324" s="7" t="s">
        <v>16</v>
      </c>
      <c r="F324" s="9" t="n">
        <v>8574</v>
      </c>
      <c r="G324" s="9" t="n">
        <v>8905</v>
      </c>
    </row>
    <row r="325" customFormat="false" ht="15" hidden="false" customHeight="false" outlineLevel="0" collapsed="false">
      <c r="B325" s="7" t="s">
        <v>31</v>
      </c>
      <c r="C325" s="8" t="n">
        <v>10</v>
      </c>
      <c r="D325" s="7" t="s">
        <v>11</v>
      </c>
      <c r="E325" s="7" t="s">
        <v>17</v>
      </c>
      <c r="F325" s="9" t="n">
        <v>5856</v>
      </c>
      <c r="G325" s="9" t="n">
        <v>5280</v>
      </c>
    </row>
    <row r="326" customFormat="false" ht="15" hidden="false" customHeight="false" outlineLevel="0" collapsed="false">
      <c r="B326" s="7" t="s">
        <v>31</v>
      </c>
      <c r="C326" s="8" t="n">
        <v>10</v>
      </c>
      <c r="D326" s="7" t="s">
        <v>11</v>
      </c>
      <c r="E326" s="7" t="s">
        <v>18</v>
      </c>
      <c r="F326" s="9" t="n">
        <v>8493</v>
      </c>
      <c r="G326" s="9" t="n">
        <v>12044</v>
      </c>
    </row>
    <row r="327" customFormat="false" ht="15" hidden="false" customHeight="false" outlineLevel="0" collapsed="false">
      <c r="B327" s="7" t="s">
        <v>31</v>
      </c>
      <c r="C327" s="8" t="n">
        <v>10</v>
      </c>
      <c r="D327" s="7" t="s">
        <v>19</v>
      </c>
      <c r="E327" s="7" t="s">
        <v>12</v>
      </c>
      <c r="F327" s="9" t="n">
        <v>167788</v>
      </c>
      <c r="G327" s="9" t="n">
        <v>164440</v>
      </c>
    </row>
    <row r="328" customFormat="false" ht="15" hidden="false" customHeight="false" outlineLevel="0" collapsed="false">
      <c r="B328" s="7" t="s">
        <v>31</v>
      </c>
      <c r="C328" s="8" t="n">
        <v>10</v>
      </c>
      <c r="D328" s="7" t="s">
        <v>19</v>
      </c>
      <c r="E328" s="7" t="s">
        <v>13</v>
      </c>
      <c r="F328" s="9" t="n">
        <v>67818</v>
      </c>
      <c r="G328" s="9" t="n">
        <v>64458</v>
      </c>
    </row>
    <row r="329" customFormat="false" ht="15" hidden="false" customHeight="false" outlineLevel="0" collapsed="false">
      <c r="B329" s="7" t="s">
        <v>31</v>
      </c>
      <c r="C329" s="8" t="n">
        <v>10</v>
      </c>
      <c r="D329" s="7" t="s">
        <v>19</v>
      </c>
      <c r="E329" s="7" t="s">
        <v>14</v>
      </c>
      <c r="F329" s="9" t="n">
        <v>18040</v>
      </c>
      <c r="G329" s="9" t="n">
        <v>21194</v>
      </c>
    </row>
    <row r="330" customFormat="false" ht="15" hidden="false" customHeight="false" outlineLevel="0" collapsed="false">
      <c r="B330" s="7" t="s">
        <v>31</v>
      </c>
      <c r="C330" s="8" t="n">
        <v>10</v>
      </c>
      <c r="D330" s="7" t="s">
        <v>19</v>
      </c>
      <c r="E330" s="7" t="s">
        <v>15</v>
      </c>
      <c r="F330" s="9" t="n">
        <v>12481</v>
      </c>
      <c r="G330" s="9" t="n">
        <v>11374</v>
      </c>
    </row>
    <row r="331" customFormat="false" ht="15" hidden="false" customHeight="false" outlineLevel="0" collapsed="false">
      <c r="B331" s="7" t="s">
        <v>31</v>
      </c>
      <c r="C331" s="8" t="n">
        <v>10</v>
      </c>
      <c r="D331" s="7" t="s">
        <v>19</v>
      </c>
      <c r="E331" s="7" t="s">
        <v>16</v>
      </c>
      <c r="F331" s="9" t="n">
        <v>9864</v>
      </c>
      <c r="G331" s="9" t="n">
        <v>9781</v>
      </c>
    </row>
    <row r="332" customFormat="false" ht="15" hidden="false" customHeight="false" outlineLevel="0" collapsed="false">
      <c r="B332" s="7" t="s">
        <v>31</v>
      </c>
      <c r="C332" s="8" t="n">
        <v>10</v>
      </c>
      <c r="D332" s="7" t="s">
        <v>19</v>
      </c>
      <c r="E332" s="7" t="s">
        <v>17</v>
      </c>
      <c r="F332" s="9" t="n">
        <v>5310</v>
      </c>
      <c r="G332" s="9" t="n">
        <v>4501</v>
      </c>
    </row>
    <row r="333" customFormat="false" ht="15" hidden="false" customHeight="false" outlineLevel="0" collapsed="false">
      <c r="B333" s="7" t="s">
        <v>31</v>
      </c>
      <c r="C333" s="8" t="n">
        <v>10</v>
      </c>
      <c r="D333" s="7" t="s">
        <v>19</v>
      </c>
      <c r="E333" s="7" t="s">
        <v>18</v>
      </c>
      <c r="F333" s="9" t="n">
        <v>8571</v>
      </c>
      <c r="G333" s="9" t="n">
        <v>6011</v>
      </c>
    </row>
    <row r="334" customFormat="false" ht="15" hidden="false" customHeight="false" outlineLevel="0" collapsed="false">
      <c r="B334" s="7" t="s">
        <v>31</v>
      </c>
      <c r="C334" s="8" t="n">
        <v>10</v>
      </c>
      <c r="D334" s="7" t="s">
        <v>20</v>
      </c>
      <c r="E334" s="7" t="s">
        <v>12</v>
      </c>
      <c r="F334" s="9" t="n">
        <v>91952</v>
      </c>
      <c r="G334" s="9" t="n">
        <v>103621</v>
      </c>
    </row>
    <row r="335" customFormat="false" ht="15" hidden="false" customHeight="false" outlineLevel="0" collapsed="false">
      <c r="B335" s="7" t="s">
        <v>31</v>
      </c>
      <c r="C335" s="8" t="n">
        <v>10</v>
      </c>
      <c r="D335" s="7" t="s">
        <v>20</v>
      </c>
      <c r="E335" s="7" t="s">
        <v>13</v>
      </c>
      <c r="F335" s="9" t="n">
        <v>39539</v>
      </c>
      <c r="G335" s="9" t="n">
        <v>42393</v>
      </c>
    </row>
    <row r="336" customFormat="false" ht="15" hidden="false" customHeight="false" outlineLevel="0" collapsed="false">
      <c r="B336" s="7" t="s">
        <v>31</v>
      </c>
      <c r="C336" s="8" t="n">
        <v>10</v>
      </c>
      <c r="D336" s="7" t="s">
        <v>20</v>
      </c>
      <c r="E336" s="7" t="s">
        <v>14</v>
      </c>
      <c r="F336" s="9" t="n">
        <v>8642</v>
      </c>
      <c r="G336" s="9" t="n">
        <v>10302</v>
      </c>
    </row>
    <row r="337" customFormat="false" ht="15" hidden="false" customHeight="false" outlineLevel="0" collapsed="false">
      <c r="B337" s="7" t="s">
        <v>31</v>
      </c>
      <c r="C337" s="8" t="n">
        <v>10</v>
      </c>
      <c r="D337" s="7" t="s">
        <v>20</v>
      </c>
      <c r="E337" s="7" t="s">
        <v>15</v>
      </c>
      <c r="F337" s="9" t="n">
        <v>9954</v>
      </c>
      <c r="G337" s="9" t="n">
        <v>8987</v>
      </c>
    </row>
    <row r="338" customFormat="false" ht="15" hidden="false" customHeight="false" outlineLevel="0" collapsed="false">
      <c r="B338" s="7" t="s">
        <v>31</v>
      </c>
      <c r="C338" s="8" t="n">
        <v>10</v>
      </c>
      <c r="D338" s="7" t="s">
        <v>20</v>
      </c>
      <c r="E338" s="7" t="s">
        <v>16</v>
      </c>
      <c r="F338" s="9" t="n">
        <v>6771</v>
      </c>
      <c r="G338" s="9" t="n">
        <v>6476</v>
      </c>
    </row>
    <row r="339" customFormat="false" ht="15" hidden="false" customHeight="false" outlineLevel="0" collapsed="false">
      <c r="B339" s="7" t="s">
        <v>31</v>
      </c>
      <c r="C339" s="8" t="n">
        <v>10</v>
      </c>
      <c r="D339" s="7" t="s">
        <v>20</v>
      </c>
      <c r="E339" s="7" t="s">
        <v>17</v>
      </c>
      <c r="F339" s="9" t="n">
        <v>3238</v>
      </c>
      <c r="G339" s="9" t="n">
        <v>5176</v>
      </c>
    </row>
    <row r="340" customFormat="false" ht="15" hidden="false" customHeight="false" outlineLevel="0" collapsed="false">
      <c r="B340" s="7" t="s">
        <v>31</v>
      </c>
      <c r="C340" s="8" t="n">
        <v>10</v>
      </c>
      <c r="D340" s="7" t="s">
        <v>20</v>
      </c>
      <c r="E340" s="7" t="s">
        <v>18</v>
      </c>
      <c r="F340" s="9" t="n">
        <v>7043</v>
      </c>
      <c r="G340" s="9" t="n">
        <v>5360</v>
      </c>
    </row>
    <row r="341" customFormat="false" ht="15" hidden="false" customHeight="false" outlineLevel="0" collapsed="false">
      <c r="B341" s="7" t="s">
        <v>31</v>
      </c>
      <c r="C341" s="8" t="n">
        <v>10</v>
      </c>
      <c r="D341" s="7" t="s">
        <v>21</v>
      </c>
      <c r="E341" s="7" t="s">
        <v>12</v>
      </c>
      <c r="F341" s="9" t="n">
        <v>64831</v>
      </c>
      <c r="G341" s="9" t="n">
        <v>71273</v>
      </c>
    </row>
    <row r="342" customFormat="false" ht="15" hidden="false" customHeight="false" outlineLevel="0" collapsed="false">
      <c r="B342" s="7" t="s">
        <v>31</v>
      </c>
      <c r="C342" s="8" t="n">
        <v>10</v>
      </c>
      <c r="D342" s="7" t="s">
        <v>21</v>
      </c>
      <c r="E342" s="7" t="s">
        <v>13</v>
      </c>
      <c r="F342" s="9" t="n">
        <v>24948</v>
      </c>
      <c r="G342" s="9" t="n">
        <v>24610</v>
      </c>
    </row>
    <row r="343" customFormat="false" ht="15" hidden="false" customHeight="false" outlineLevel="0" collapsed="false">
      <c r="B343" s="7" t="s">
        <v>31</v>
      </c>
      <c r="C343" s="8" t="n">
        <v>10</v>
      </c>
      <c r="D343" s="7" t="s">
        <v>21</v>
      </c>
      <c r="E343" s="7" t="s">
        <v>14</v>
      </c>
      <c r="F343" s="9" t="n">
        <v>5053</v>
      </c>
      <c r="G343" s="9" t="n">
        <v>6362</v>
      </c>
    </row>
    <row r="344" customFormat="false" ht="15" hidden="false" customHeight="false" outlineLevel="0" collapsed="false">
      <c r="B344" s="7" t="s">
        <v>31</v>
      </c>
      <c r="C344" s="8" t="n">
        <v>10</v>
      </c>
      <c r="D344" s="7" t="s">
        <v>21</v>
      </c>
      <c r="E344" s="7" t="s">
        <v>15</v>
      </c>
      <c r="F344" s="9" t="n">
        <v>4403</v>
      </c>
      <c r="G344" s="9" t="n">
        <v>5039</v>
      </c>
    </row>
    <row r="345" customFormat="false" ht="15" hidden="false" customHeight="false" outlineLevel="0" collapsed="false">
      <c r="B345" s="7" t="s">
        <v>31</v>
      </c>
      <c r="C345" s="8" t="n">
        <v>10</v>
      </c>
      <c r="D345" s="7" t="s">
        <v>21</v>
      </c>
      <c r="E345" s="7" t="s">
        <v>16</v>
      </c>
      <c r="F345" s="9" t="n">
        <v>3965</v>
      </c>
      <c r="G345" s="9" t="n">
        <v>3865</v>
      </c>
    </row>
    <row r="346" customFormat="false" ht="15" hidden="false" customHeight="false" outlineLevel="0" collapsed="false">
      <c r="B346" s="7" t="s">
        <v>31</v>
      </c>
      <c r="C346" s="8" t="n">
        <v>10</v>
      </c>
      <c r="D346" s="7" t="s">
        <v>21</v>
      </c>
      <c r="E346" s="7" t="s">
        <v>17</v>
      </c>
      <c r="F346" s="9" t="n">
        <v>1852</v>
      </c>
      <c r="G346" s="9" t="n">
        <v>1814</v>
      </c>
    </row>
    <row r="347" customFormat="false" ht="15" hidden="false" customHeight="false" outlineLevel="0" collapsed="false">
      <c r="B347" s="7" t="s">
        <v>31</v>
      </c>
      <c r="C347" s="8" t="n">
        <v>10</v>
      </c>
      <c r="D347" s="7" t="s">
        <v>21</v>
      </c>
      <c r="E347" s="7" t="s">
        <v>18</v>
      </c>
      <c r="F347" s="9" t="n">
        <v>3351</v>
      </c>
      <c r="G347" s="9" t="n">
        <v>2854</v>
      </c>
    </row>
    <row r="348" customFormat="false" ht="15" hidden="false" customHeight="false" outlineLevel="0" collapsed="false">
      <c r="B348" s="7" t="s">
        <v>31</v>
      </c>
      <c r="C348" s="8" t="n">
        <v>10</v>
      </c>
      <c r="D348" s="7" t="s">
        <v>22</v>
      </c>
      <c r="E348" s="7" t="s">
        <v>12</v>
      </c>
      <c r="F348" s="9" t="n">
        <v>83573</v>
      </c>
      <c r="G348" s="9" t="n">
        <v>92690</v>
      </c>
    </row>
    <row r="349" customFormat="false" ht="15" hidden="false" customHeight="false" outlineLevel="0" collapsed="false">
      <c r="B349" s="7" t="s">
        <v>31</v>
      </c>
      <c r="C349" s="8" t="n">
        <v>10</v>
      </c>
      <c r="D349" s="7" t="s">
        <v>22</v>
      </c>
      <c r="E349" s="7" t="s">
        <v>13</v>
      </c>
      <c r="F349" s="9" t="n">
        <v>43212</v>
      </c>
      <c r="G349" s="9" t="n">
        <v>46018</v>
      </c>
    </row>
    <row r="350" customFormat="false" ht="15" hidden="false" customHeight="false" outlineLevel="0" collapsed="false">
      <c r="B350" s="7" t="s">
        <v>31</v>
      </c>
      <c r="C350" s="8" t="n">
        <v>10</v>
      </c>
      <c r="D350" s="7" t="s">
        <v>22</v>
      </c>
      <c r="E350" s="7" t="s">
        <v>14</v>
      </c>
      <c r="F350" s="9" t="n">
        <v>11720</v>
      </c>
      <c r="G350" s="9" t="n">
        <v>14285</v>
      </c>
    </row>
    <row r="351" customFormat="false" ht="15" hidden="false" customHeight="false" outlineLevel="0" collapsed="false">
      <c r="B351" s="7" t="s">
        <v>31</v>
      </c>
      <c r="C351" s="8" t="n">
        <v>10</v>
      </c>
      <c r="D351" s="7" t="s">
        <v>22</v>
      </c>
      <c r="E351" s="7" t="s">
        <v>15</v>
      </c>
      <c r="F351" s="9" t="n">
        <v>6621</v>
      </c>
      <c r="G351" s="9" t="n">
        <v>8868</v>
      </c>
    </row>
    <row r="352" customFormat="false" ht="15" hidden="false" customHeight="false" outlineLevel="0" collapsed="false">
      <c r="B352" s="7" t="s">
        <v>31</v>
      </c>
      <c r="C352" s="8" t="n">
        <v>10</v>
      </c>
      <c r="D352" s="7" t="s">
        <v>22</v>
      </c>
      <c r="E352" s="7" t="s">
        <v>16</v>
      </c>
      <c r="F352" s="9" t="n">
        <v>6615</v>
      </c>
      <c r="G352" s="9" t="n">
        <v>6647</v>
      </c>
    </row>
    <row r="353" customFormat="false" ht="15" hidden="false" customHeight="false" outlineLevel="0" collapsed="false">
      <c r="B353" s="7" t="s">
        <v>31</v>
      </c>
      <c r="C353" s="8" t="n">
        <v>10</v>
      </c>
      <c r="D353" s="7" t="s">
        <v>22</v>
      </c>
      <c r="E353" s="7" t="s">
        <v>17</v>
      </c>
      <c r="F353" s="9" t="n">
        <v>3957</v>
      </c>
      <c r="G353" s="9" t="n">
        <v>2329</v>
      </c>
    </row>
    <row r="354" customFormat="false" ht="15" hidden="false" customHeight="false" outlineLevel="0" collapsed="false">
      <c r="B354" s="7" t="s">
        <v>31</v>
      </c>
      <c r="C354" s="8" t="n">
        <v>10</v>
      </c>
      <c r="D354" s="7" t="s">
        <v>22</v>
      </c>
      <c r="E354" s="7" t="s">
        <v>18</v>
      </c>
      <c r="F354" s="9" t="n">
        <v>5092</v>
      </c>
      <c r="G354" s="9" t="n">
        <v>5401</v>
      </c>
    </row>
    <row r="355" customFormat="false" ht="15" hidden="false" customHeight="false" outlineLevel="0" collapsed="false">
      <c r="B355" s="7" t="s">
        <v>32</v>
      </c>
      <c r="C355" s="8" t="n">
        <v>11</v>
      </c>
      <c r="D355" s="7" t="s">
        <v>11</v>
      </c>
      <c r="E355" s="7" t="s">
        <v>12</v>
      </c>
      <c r="F355" s="9" t="n">
        <v>106897</v>
      </c>
      <c r="G355" s="9" t="n">
        <v>113597</v>
      </c>
    </row>
    <row r="356" customFormat="false" ht="15" hidden="false" customHeight="false" outlineLevel="0" collapsed="false">
      <c r="B356" s="7" t="s">
        <v>32</v>
      </c>
      <c r="C356" s="8" t="n">
        <v>11</v>
      </c>
      <c r="D356" s="7" t="s">
        <v>11</v>
      </c>
      <c r="E356" s="7" t="s">
        <v>13</v>
      </c>
      <c r="F356" s="9" t="n">
        <v>59253</v>
      </c>
      <c r="G356" s="9" t="n">
        <v>60030</v>
      </c>
    </row>
    <row r="357" customFormat="false" ht="15" hidden="false" customHeight="false" outlineLevel="0" collapsed="false">
      <c r="B357" s="7" t="s">
        <v>32</v>
      </c>
      <c r="C357" s="8" t="n">
        <v>11</v>
      </c>
      <c r="D357" s="7" t="s">
        <v>11</v>
      </c>
      <c r="E357" s="7" t="s">
        <v>14</v>
      </c>
      <c r="F357" s="9" t="n">
        <v>15007</v>
      </c>
      <c r="G357" s="9" t="n">
        <v>13056</v>
      </c>
    </row>
    <row r="358" customFormat="false" ht="15" hidden="false" customHeight="false" outlineLevel="0" collapsed="false">
      <c r="B358" s="7" t="s">
        <v>32</v>
      </c>
      <c r="C358" s="8" t="n">
        <v>11</v>
      </c>
      <c r="D358" s="7" t="s">
        <v>11</v>
      </c>
      <c r="E358" s="7" t="s">
        <v>15</v>
      </c>
      <c r="F358" s="9" t="n">
        <v>10641</v>
      </c>
      <c r="G358" s="9" t="n">
        <v>10538</v>
      </c>
    </row>
    <row r="359" customFormat="false" ht="15" hidden="false" customHeight="false" outlineLevel="0" collapsed="false">
      <c r="B359" s="7" t="s">
        <v>32</v>
      </c>
      <c r="C359" s="8" t="n">
        <v>11</v>
      </c>
      <c r="D359" s="7" t="s">
        <v>11</v>
      </c>
      <c r="E359" s="7" t="s">
        <v>16</v>
      </c>
      <c r="F359" s="9" t="n">
        <v>8584</v>
      </c>
      <c r="G359" s="9" t="n">
        <v>8410</v>
      </c>
    </row>
    <row r="360" customFormat="false" ht="15" hidden="false" customHeight="false" outlineLevel="0" collapsed="false">
      <c r="B360" s="7" t="s">
        <v>32</v>
      </c>
      <c r="C360" s="8" t="n">
        <v>11</v>
      </c>
      <c r="D360" s="7" t="s">
        <v>11</v>
      </c>
      <c r="E360" s="7" t="s">
        <v>17</v>
      </c>
      <c r="F360" s="9" t="n">
        <v>6032</v>
      </c>
      <c r="G360" s="9" t="n">
        <v>7917</v>
      </c>
    </row>
    <row r="361" customFormat="false" ht="15" hidden="false" customHeight="false" outlineLevel="0" collapsed="false">
      <c r="B361" s="7" t="s">
        <v>32</v>
      </c>
      <c r="C361" s="8" t="n">
        <v>11</v>
      </c>
      <c r="D361" s="7" t="s">
        <v>11</v>
      </c>
      <c r="E361" s="7" t="s">
        <v>18</v>
      </c>
      <c r="F361" s="9" t="n">
        <v>6157</v>
      </c>
      <c r="G361" s="9" t="n">
        <v>6310</v>
      </c>
    </row>
    <row r="362" customFormat="false" ht="15" hidden="false" customHeight="false" outlineLevel="0" collapsed="false">
      <c r="B362" s="7" t="s">
        <v>32</v>
      </c>
      <c r="C362" s="8" t="n">
        <v>11</v>
      </c>
      <c r="D362" s="7" t="s">
        <v>19</v>
      </c>
      <c r="E362" s="7" t="s">
        <v>12</v>
      </c>
      <c r="F362" s="9" t="n">
        <v>143461</v>
      </c>
      <c r="G362" s="9" t="n">
        <v>136184</v>
      </c>
    </row>
    <row r="363" customFormat="false" ht="15" hidden="false" customHeight="false" outlineLevel="0" collapsed="false">
      <c r="B363" s="7" t="s">
        <v>32</v>
      </c>
      <c r="C363" s="8" t="n">
        <v>11</v>
      </c>
      <c r="D363" s="7" t="s">
        <v>19</v>
      </c>
      <c r="E363" s="7" t="s">
        <v>13</v>
      </c>
      <c r="F363" s="9" t="n">
        <v>87393</v>
      </c>
      <c r="G363" s="9" t="n">
        <v>90622</v>
      </c>
    </row>
    <row r="364" customFormat="false" ht="15" hidden="false" customHeight="false" outlineLevel="0" collapsed="false">
      <c r="B364" s="7" t="s">
        <v>32</v>
      </c>
      <c r="C364" s="8" t="n">
        <v>11</v>
      </c>
      <c r="D364" s="7" t="s">
        <v>19</v>
      </c>
      <c r="E364" s="7" t="s">
        <v>14</v>
      </c>
      <c r="F364" s="9" t="n">
        <v>13470</v>
      </c>
      <c r="G364" s="9" t="n">
        <v>12015</v>
      </c>
    </row>
    <row r="365" customFormat="false" ht="15" hidden="false" customHeight="false" outlineLevel="0" collapsed="false">
      <c r="B365" s="7" t="s">
        <v>32</v>
      </c>
      <c r="C365" s="8" t="n">
        <v>11</v>
      </c>
      <c r="D365" s="7" t="s">
        <v>19</v>
      </c>
      <c r="E365" s="7" t="s">
        <v>15</v>
      </c>
      <c r="F365" s="9" t="n">
        <v>9486</v>
      </c>
      <c r="G365" s="9" t="n">
        <v>7139</v>
      </c>
    </row>
    <row r="366" customFormat="false" ht="15" hidden="false" customHeight="false" outlineLevel="0" collapsed="false">
      <c r="B366" s="7" t="s">
        <v>32</v>
      </c>
      <c r="C366" s="8" t="n">
        <v>11</v>
      </c>
      <c r="D366" s="7" t="s">
        <v>19</v>
      </c>
      <c r="E366" s="7" t="s">
        <v>16</v>
      </c>
      <c r="F366" s="9" t="n">
        <v>12075</v>
      </c>
      <c r="G366" s="9" t="n">
        <v>12565</v>
      </c>
    </row>
    <row r="367" customFormat="false" ht="15" hidden="false" customHeight="false" outlineLevel="0" collapsed="false">
      <c r="B367" s="7" t="s">
        <v>32</v>
      </c>
      <c r="C367" s="8" t="n">
        <v>11</v>
      </c>
      <c r="D367" s="7" t="s">
        <v>19</v>
      </c>
      <c r="E367" s="7" t="s">
        <v>17</v>
      </c>
      <c r="F367" s="9" t="n">
        <v>6054</v>
      </c>
      <c r="G367" s="9" t="n">
        <v>6692</v>
      </c>
    </row>
    <row r="368" customFormat="false" ht="15" hidden="false" customHeight="false" outlineLevel="0" collapsed="false">
      <c r="B368" s="7" t="s">
        <v>32</v>
      </c>
      <c r="C368" s="8" t="n">
        <v>11</v>
      </c>
      <c r="D368" s="7" t="s">
        <v>19</v>
      </c>
      <c r="E368" s="7" t="s">
        <v>18</v>
      </c>
      <c r="F368" s="9" t="n">
        <v>10065</v>
      </c>
      <c r="G368" s="9" t="n">
        <v>14342</v>
      </c>
    </row>
    <row r="369" customFormat="false" ht="15" hidden="false" customHeight="false" outlineLevel="0" collapsed="false">
      <c r="B369" s="7" t="s">
        <v>32</v>
      </c>
      <c r="C369" s="8" t="n">
        <v>11</v>
      </c>
      <c r="D369" s="7" t="s">
        <v>20</v>
      </c>
      <c r="E369" s="7" t="s">
        <v>12</v>
      </c>
      <c r="F369" s="9" t="n">
        <v>98539</v>
      </c>
      <c r="G369" s="9" t="n">
        <v>97657</v>
      </c>
    </row>
    <row r="370" customFormat="false" ht="15" hidden="false" customHeight="false" outlineLevel="0" collapsed="false">
      <c r="B370" s="7" t="s">
        <v>32</v>
      </c>
      <c r="C370" s="8" t="n">
        <v>11</v>
      </c>
      <c r="D370" s="7" t="s">
        <v>20</v>
      </c>
      <c r="E370" s="7" t="s">
        <v>13</v>
      </c>
      <c r="F370" s="9" t="n">
        <v>52154</v>
      </c>
      <c r="G370" s="9" t="n">
        <v>50850</v>
      </c>
    </row>
    <row r="371" customFormat="false" ht="15" hidden="false" customHeight="false" outlineLevel="0" collapsed="false">
      <c r="B371" s="7" t="s">
        <v>32</v>
      </c>
      <c r="C371" s="8" t="n">
        <v>11</v>
      </c>
      <c r="D371" s="7" t="s">
        <v>20</v>
      </c>
      <c r="E371" s="7" t="s">
        <v>14</v>
      </c>
      <c r="F371" s="9" t="n">
        <v>7868</v>
      </c>
      <c r="G371" s="9" t="n">
        <v>7050</v>
      </c>
    </row>
    <row r="372" customFormat="false" ht="15" hidden="false" customHeight="false" outlineLevel="0" collapsed="false">
      <c r="B372" s="7" t="s">
        <v>32</v>
      </c>
      <c r="C372" s="8" t="n">
        <v>11</v>
      </c>
      <c r="D372" s="7" t="s">
        <v>20</v>
      </c>
      <c r="E372" s="7" t="s">
        <v>15</v>
      </c>
      <c r="F372" s="9" t="n">
        <v>8597</v>
      </c>
      <c r="G372" s="9" t="n">
        <v>6566</v>
      </c>
    </row>
    <row r="373" customFormat="false" ht="15" hidden="false" customHeight="false" outlineLevel="0" collapsed="false">
      <c r="B373" s="7" t="s">
        <v>32</v>
      </c>
      <c r="C373" s="8" t="n">
        <v>11</v>
      </c>
      <c r="D373" s="7" t="s">
        <v>20</v>
      </c>
      <c r="E373" s="7" t="s">
        <v>16</v>
      </c>
      <c r="F373" s="9" t="n">
        <v>6281</v>
      </c>
      <c r="G373" s="9" t="n">
        <v>6198</v>
      </c>
    </row>
    <row r="374" customFormat="false" ht="15" hidden="false" customHeight="false" outlineLevel="0" collapsed="false">
      <c r="B374" s="7" t="s">
        <v>32</v>
      </c>
      <c r="C374" s="8" t="n">
        <v>11</v>
      </c>
      <c r="D374" s="7" t="s">
        <v>20</v>
      </c>
      <c r="E374" s="7" t="s">
        <v>17</v>
      </c>
      <c r="F374" s="9" t="n">
        <v>4783</v>
      </c>
      <c r="G374" s="9" t="n">
        <v>5388</v>
      </c>
    </row>
    <row r="375" customFormat="false" ht="15" hidden="false" customHeight="false" outlineLevel="0" collapsed="false">
      <c r="B375" s="7" t="s">
        <v>32</v>
      </c>
      <c r="C375" s="8" t="n">
        <v>11</v>
      </c>
      <c r="D375" s="7" t="s">
        <v>20</v>
      </c>
      <c r="E375" s="7" t="s">
        <v>18</v>
      </c>
      <c r="F375" s="9" t="n">
        <v>2847</v>
      </c>
      <c r="G375" s="9" t="n">
        <v>3700</v>
      </c>
    </row>
    <row r="376" customFormat="false" ht="15" hidden="false" customHeight="false" outlineLevel="0" collapsed="false">
      <c r="B376" s="7" t="s">
        <v>32</v>
      </c>
      <c r="C376" s="8" t="n">
        <v>11</v>
      </c>
      <c r="D376" s="7" t="s">
        <v>21</v>
      </c>
      <c r="E376" s="7" t="s">
        <v>12</v>
      </c>
      <c r="F376" s="9" t="n">
        <v>64231</v>
      </c>
      <c r="G376" s="9" t="n">
        <v>62711</v>
      </c>
    </row>
    <row r="377" customFormat="false" ht="15" hidden="false" customHeight="false" outlineLevel="0" collapsed="false">
      <c r="B377" s="7" t="s">
        <v>32</v>
      </c>
      <c r="C377" s="8" t="n">
        <v>11</v>
      </c>
      <c r="D377" s="7" t="s">
        <v>21</v>
      </c>
      <c r="E377" s="7" t="s">
        <v>13</v>
      </c>
      <c r="F377" s="9" t="n">
        <v>34305</v>
      </c>
      <c r="G377" s="9" t="n">
        <v>33526</v>
      </c>
    </row>
    <row r="378" customFormat="false" ht="15" hidden="false" customHeight="false" outlineLevel="0" collapsed="false">
      <c r="B378" s="7" t="s">
        <v>32</v>
      </c>
      <c r="C378" s="8" t="n">
        <v>11</v>
      </c>
      <c r="D378" s="7" t="s">
        <v>21</v>
      </c>
      <c r="E378" s="7" t="s">
        <v>14</v>
      </c>
      <c r="F378" s="9" t="n">
        <v>6127</v>
      </c>
      <c r="G378" s="9" t="n">
        <v>6041</v>
      </c>
    </row>
    <row r="379" customFormat="false" ht="15" hidden="false" customHeight="false" outlineLevel="0" collapsed="false">
      <c r="B379" s="7" t="s">
        <v>32</v>
      </c>
      <c r="C379" s="8" t="n">
        <v>11</v>
      </c>
      <c r="D379" s="7" t="s">
        <v>21</v>
      </c>
      <c r="E379" s="7" t="s">
        <v>15</v>
      </c>
      <c r="F379" s="9" t="n">
        <v>3304</v>
      </c>
      <c r="G379" s="9" t="n">
        <v>3464</v>
      </c>
    </row>
    <row r="380" customFormat="false" ht="15" hidden="false" customHeight="false" outlineLevel="0" collapsed="false">
      <c r="B380" s="7" t="s">
        <v>32</v>
      </c>
      <c r="C380" s="8" t="n">
        <v>11</v>
      </c>
      <c r="D380" s="7" t="s">
        <v>21</v>
      </c>
      <c r="E380" s="7" t="s">
        <v>16</v>
      </c>
      <c r="F380" s="9" t="n">
        <v>5011</v>
      </c>
      <c r="G380" s="9" t="n">
        <v>5245</v>
      </c>
    </row>
    <row r="381" customFormat="false" ht="15" hidden="false" customHeight="false" outlineLevel="0" collapsed="false">
      <c r="B381" s="7" t="s">
        <v>32</v>
      </c>
      <c r="C381" s="8" t="n">
        <v>11</v>
      </c>
      <c r="D381" s="7" t="s">
        <v>21</v>
      </c>
      <c r="E381" s="7" t="s">
        <v>17</v>
      </c>
      <c r="F381" s="9" t="n">
        <v>1509</v>
      </c>
      <c r="G381" s="9" t="n">
        <v>1894</v>
      </c>
    </row>
    <row r="382" customFormat="false" ht="15" hidden="false" customHeight="false" outlineLevel="0" collapsed="false">
      <c r="B382" s="7" t="s">
        <v>32</v>
      </c>
      <c r="C382" s="8" t="n">
        <v>11</v>
      </c>
      <c r="D382" s="7" t="s">
        <v>21</v>
      </c>
      <c r="E382" s="7" t="s">
        <v>18</v>
      </c>
      <c r="F382" s="9" t="n">
        <v>4401</v>
      </c>
      <c r="G382" s="9" t="n">
        <v>5297</v>
      </c>
    </row>
    <row r="383" customFormat="false" ht="15" hidden="false" customHeight="false" outlineLevel="0" collapsed="false">
      <c r="B383" s="7" t="s">
        <v>32</v>
      </c>
      <c r="C383" s="8" t="n">
        <v>11</v>
      </c>
      <c r="D383" s="7" t="s">
        <v>22</v>
      </c>
      <c r="E383" s="7" t="s">
        <v>12</v>
      </c>
      <c r="F383" s="9" t="n">
        <v>75322</v>
      </c>
      <c r="G383" s="9" t="n">
        <v>66325</v>
      </c>
    </row>
    <row r="384" customFormat="false" ht="15" hidden="false" customHeight="false" outlineLevel="0" collapsed="false">
      <c r="B384" s="7" t="s">
        <v>32</v>
      </c>
      <c r="C384" s="8" t="n">
        <v>11</v>
      </c>
      <c r="D384" s="7" t="s">
        <v>22</v>
      </c>
      <c r="E384" s="7" t="s">
        <v>13</v>
      </c>
      <c r="F384" s="9" t="n">
        <v>38512</v>
      </c>
      <c r="G384" s="9" t="n">
        <v>38511</v>
      </c>
    </row>
    <row r="385" customFormat="false" ht="15" hidden="false" customHeight="false" outlineLevel="0" collapsed="false">
      <c r="B385" s="7" t="s">
        <v>32</v>
      </c>
      <c r="C385" s="8" t="n">
        <v>11</v>
      </c>
      <c r="D385" s="7" t="s">
        <v>22</v>
      </c>
      <c r="E385" s="7" t="s">
        <v>14</v>
      </c>
      <c r="F385" s="9" t="n">
        <v>10632</v>
      </c>
      <c r="G385" s="9" t="n">
        <v>11112</v>
      </c>
    </row>
    <row r="386" customFormat="false" ht="15" hidden="false" customHeight="false" outlineLevel="0" collapsed="false">
      <c r="B386" s="7" t="s">
        <v>32</v>
      </c>
      <c r="C386" s="8" t="n">
        <v>11</v>
      </c>
      <c r="D386" s="7" t="s">
        <v>22</v>
      </c>
      <c r="E386" s="7" t="s">
        <v>15</v>
      </c>
      <c r="F386" s="9" t="n">
        <v>6044</v>
      </c>
      <c r="G386" s="9" t="n">
        <v>7821</v>
      </c>
    </row>
    <row r="387" customFormat="false" ht="15" hidden="false" customHeight="false" outlineLevel="0" collapsed="false">
      <c r="B387" s="7" t="s">
        <v>32</v>
      </c>
      <c r="C387" s="8" t="n">
        <v>11</v>
      </c>
      <c r="D387" s="7" t="s">
        <v>22</v>
      </c>
      <c r="E387" s="7" t="s">
        <v>16</v>
      </c>
      <c r="F387" s="9" t="n">
        <v>4871</v>
      </c>
      <c r="G387" s="9" t="n">
        <v>4689</v>
      </c>
    </row>
    <row r="388" customFormat="false" ht="15" hidden="false" customHeight="false" outlineLevel="0" collapsed="false">
      <c r="B388" s="7" t="s">
        <v>32</v>
      </c>
      <c r="C388" s="8" t="n">
        <v>11</v>
      </c>
      <c r="D388" s="7" t="s">
        <v>22</v>
      </c>
      <c r="E388" s="7" t="s">
        <v>17</v>
      </c>
      <c r="F388" s="9" t="n">
        <v>2992</v>
      </c>
      <c r="G388" s="9" t="n">
        <v>3831</v>
      </c>
    </row>
    <row r="389" customFormat="false" ht="15" hidden="false" customHeight="false" outlineLevel="0" collapsed="false">
      <c r="B389" s="7" t="s">
        <v>32</v>
      </c>
      <c r="C389" s="8" t="n">
        <v>11</v>
      </c>
      <c r="D389" s="7" t="s">
        <v>22</v>
      </c>
      <c r="E389" s="7" t="s">
        <v>18</v>
      </c>
      <c r="F389" s="9" t="n">
        <v>5501</v>
      </c>
      <c r="G389" s="9" t="n">
        <v>8111</v>
      </c>
    </row>
    <row r="390" customFormat="false" ht="15" hidden="false" customHeight="false" outlineLevel="0" collapsed="false">
      <c r="B390" s="7" t="s">
        <v>33</v>
      </c>
      <c r="C390" s="8" t="n">
        <v>12</v>
      </c>
      <c r="D390" s="7" t="s">
        <v>11</v>
      </c>
      <c r="E390" s="7" t="s">
        <v>12</v>
      </c>
      <c r="F390" s="9" t="n">
        <v>134521</v>
      </c>
      <c r="G390" s="9" t="n">
        <v>114350</v>
      </c>
    </row>
    <row r="391" customFormat="false" ht="15" hidden="false" customHeight="false" outlineLevel="0" collapsed="false">
      <c r="B391" s="7" t="s">
        <v>33</v>
      </c>
      <c r="C391" s="8" t="n">
        <v>12</v>
      </c>
      <c r="D391" s="7" t="s">
        <v>11</v>
      </c>
      <c r="E391" s="7" t="s">
        <v>13</v>
      </c>
      <c r="F391" s="9" t="n">
        <v>63394</v>
      </c>
      <c r="G391" s="9" t="n">
        <v>67890</v>
      </c>
    </row>
    <row r="392" customFormat="false" ht="15" hidden="false" customHeight="false" outlineLevel="0" collapsed="false">
      <c r="B392" s="7" t="s">
        <v>33</v>
      </c>
      <c r="C392" s="8" t="n">
        <v>12</v>
      </c>
      <c r="D392" s="7" t="s">
        <v>11</v>
      </c>
      <c r="E392" s="7" t="s">
        <v>14</v>
      </c>
      <c r="F392" s="9" t="n">
        <v>17715</v>
      </c>
      <c r="G392" s="9" t="n">
        <v>19315</v>
      </c>
    </row>
    <row r="393" customFormat="false" ht="15" hidden="false" customHeight="false" outlineLevel="0" collapsed="false">
      <c r="B393" s="7" t="s">
        <v>33</v>
      </c>
      <c r="C393" s="8" t="n">
        <v>12</v>
      </c>
      <c r="D393" s="7" t="s">
        <v>11</v>
      </c>
      <c r="E393" s="7" t="s">
        <v>15</v>
      </c>
      <c r="F393" s="9" t="n">
        <v>10602</v>
      </c>
      <c r="G393" s="9" t="n">
        <v>14636</v>
      </c>
    </row>
    <row r="394" customFormat="false" ht="15" hidden="false" customHeight="false" outlineLevel="0" collapsed="false">
      <c r="B394" s="7" t="s">
        <v>33</v>
      </c>
      <c r="C394" s="8" t="n">
        <v>12</v>
      </c>
      <c r="D394" s="7" t="s">
        <v>11</v>
      </c>
      <c r="E394" s="7" t="s">
        <v>16</v>
      </c>
      <c r="F394" s="9" t="n">
        <v>8420</v>
      </c>
      <c r="G394" s="9" t="n">
        <v>8658</v>
      </c>
    </row>
    <row r="395" customFormat="false" ht="15" hidden="false" customHeight="false" outlineLevel="0" collapsed="false">
      <c r="B395" s="7" t="s">
        <v>33</v>
      </c>
      <c r="C395" s="8" t="n">
        <v>12</v>
      </c>
      <c r="D395" s="7" t="s">
        <v>11</v>
      </c>
      <c r="E395" s="7" t="s">
        <v>17</v>
      </c>
      <c r="F395" s="9" t="n">
        <v>3499</v>
      </c>
      <c r="G395" s="9" t="n">
        <v>2343</v>
      </c>
    </row>
    <row r="396" customFormat="false" ht="15" hidden="false" customHeight="false" outlineLevel="0" collapsed="false">
      <c r="B396" s="7" t="s">
        <v>33</v>
      </c>
      <c r="C396" s="8" t="n">
        <v>12</v>
      </c>
      <c r="D396" s="7" t="s">
        <v>11</v>
      </c>
      <c r="E396" s="7" t="s">
        <v>18</v>
      </c>
      <c r="F396" s="9" t="n">
        <v>8734</v>
      </c>
      <c r="G396" s="9" t="n">
        <v>12904</v>
      </c>
    </row>
    <row r="397" customFormat="false" ht="15" hidden="false" customHeight="false" outlineLevel="0" collapsed="false">
      <c r="B397" s="7" t="s">
        <v>33</v>
      </c>
      <c r="C397" s="8" t="n">
        <v>12</v>
      </c>
      <c r="D397" s="7" t="s">
        <v>19</v>
      </c>
      <c r="E397" s="7" t="s">
        <v>12</v>
      </c>
      <c r="F397" s="9" t="n">
        <v>130704</v>
      </c>
      <c r="G397" s="9" t="n">
        <v>151707</v>
      </c>
    </row>
    <row r="398" customFormat="false" ht="15" hidden="false" customHeight="false" outlineLevel="0" collapsed="false">
      <c r="B398" s="7" t="s">
        <v>33</v>
      </c>
      <c r="C398" s="8" t="n">
        <v>12</v>
      </c>
      <c r="D398" s="7" t="s">
        <v>19</v>
      </c>
      <c r="E398" s="7" t="s">
        <v>13</v>
      </c>
      <c r="F398" s="9" t="n">
        <v>82477</v>
      </c>
      <c r="G398" s="9" t="n">
        <v>79264</v>
      </c>
    </row>
    <row r="399" customFormat="false" ht="15" hidden="false" customHeight="false" outlineLevel="0" collapsed="false">
      <c r="B399" s="7" t="s">
        <v>33</v>
      </c>
      <c r="C399" s="8" t="n">
        <v>12</v>
      </c>
      <c r="D399" s="7" t="s">
        <v>19</v>
      </c>
      <c r="E399" s="7" t="s">
        <v>14</v>
      </c>
      <c r="F399" s="9" t="n">
        <v>21546</v>
      </c>
      <c r="G399" s="9" t="n">
        <v>17705</v>
      </c>
    </row>
    <row r="400" customFormat="false" ht="15" hidden="false" customHeight="false" outlineLevel="0" collapsed="false">
      <c r="B400" s="7" t="s">
        <v>33</v>
      </c>
      <c r="C400" s="8" t="n">
        <v>12</v>
      </c>
      <c r="D400" s="7" t="s">
        <v>19</v>
      </c>
      <c r="E400" s="7" t="s">
        <v>15</v>
      </c>
      <c r="F400" s="9" t="n">
        <v>17112</v>
      </c>
      <c r="G400" s="9" t="n">
        <v>13483</v>
      </c>
    </row>
    <row r="401" customFormat="false" ht="15" hidden="false" customHeight="false" outlineLevel="0" collapsed="false">
      <c r="B401" s="7" t="s">
        <v>33</v>
      </c>
      <c r="C401" s="8" t="n">
        <v>12</v>
      </c>
      <c r="D401" s="7" t="s">
        <v>19</v>
      </c>
      <c r="E401" s="7" t="s">
        <v>16</v>
      </c>
      <c r="F401" s="9" t="n">
        <v>12498</v>
      </c>
      <c r="G401" s="9" t="n">
        <v>13022</v>
      </c>
    </row>
    <row r="402" customFormat="false" ht="15" hidden="false" customHeight="false" outlineLevel="0" collapsed="false">
      <c r="B402" s="7" t="s">
        <v>33</v>
      </c>
      <c r="C402" s="8" t="n">
        <v>12</v>
      </c>
      <c r="D402" s="7" t="s">
        <v>19</v>
      </c>
      <c r="E402" s="7" t="s">
        <v>17</v>
      </c>
      <c r="F402" s="9" t="n">
        <v>6964</v>
      </c>
      <c r="G402" s="9" t="n">
        <v>8959</v>
      </c>
    </row>
    <row r="403" customFormat="false" ht="15" hidden="false" customHeight="false" outlineLevel="0" collapsed="false">
      <c r="B403" s="7" t="s">
        <v>33</v>
      </c>
      <c r="C403" s="8" t="n">
        <v>12</v>
      </c>
      <c r="D403" s="7" t="s">
        <v>19</v>
      </c>
      <c r="E403" s="7" t="s">
        <v>18</v>
      </c>
      <c r="F403" s="9" t="n">
        <v>6072</v>
      </c>
      <c r="G403" s="9" t="n">
        <v>7293</v>
      </c>
    </row>
    <row r="404" customFormat="false" ht="15" hidden="false" customHeight="false" outlineLevel="0" collapsed="false">
      <c r="B404" s="7" t="s">
        <v>33</v>
      </c>
      <c r="C404" s="8" t="n">
        <v>12</v>
      </c>
      <c r="D404" s="7" t="s">
        <v>20</v>
      </c>
      <c r="E404" s="7" t="s">
        <v>12</v>
      </c>
      <c r="F404" s="9" t="n">
        <v>103157</v>
      </c>
      <c r="G404" s="9" t="n">
        <v>109343</v>
      </c>
    </row>
    <row r="405" customFormat="false" ht="15" hidden="false" customHeight="false" outlineLevel="0" collapsed="false">
      <c r="B405" s="7" t="s">
        <v>33</v>
      </c>
      <c r="C405" s="8" t="n">
        <v>12</v>
      </c>
      <c r="D405" s="7" t="s">
        <v>20</v>
      </c>
      <c r="E405" s="7" t="s">
        <v>13</v>
      </c>
      <c r="F405" s="9" t="n">
        <v>39306</v>
      </c>
      <c r="G405" s="9" t="n">
        <v>37848</v>
      </c>
    </row>
    <row r="406" customFormat="false" ht="15" hidden="false" customHeight="false" outlineLevel="0" collapsed="false">
      <c r="B406" s="7" t="s">
        <v>33</v>
      </c>
      <c r="C406" s="8" t="n">
        <v>12</v>
      </c>
      <c r="D406" s="7" t="s">
        <v>20</v>
      </c>
      <c r="E406" s="7" t="s">
        <v>14</v>
      </c>
      <c r="F406" s="9" t="n">
        <v>9414</v>
      </c>
      <c r="G406" s="9" t="n">
        <v>10246</v>
      </c>
    </row>
    <row r="407" customFormat="false" ht="15" hidden="false" customHeight="false" outlineLevel="0" collapsed="false">
      <c r="B407" s="7" t="s">
        <v>33</v>
      </c>
      <c r="C407" s="8" t="n">
        <v>12</v>
      </c>
      <c r="D407" s="7" t="s">
        <v>20</v>
      </c>
      <c r="E407" s="7" t="s">
        <v>15</v>
      </c>
      <c r="F407" s="9" t="n">
        <v>8797</v>
      </c>
      <c r="G407" s="9" t="n">
        <v>7338</v>
      </c>
    </row>
    <row r="408" customFormat="false" ht="15" hidden="false" customHeight="false" outlineLevel="0" collapsed="false">
      <c r="B408" s="7" t="s">
        <v>33</v>
      </c>
      <c r="C408" s="8" t="n">
        <v>12</v>
      </c>
      <c r="D408" s="7" t="s">
        <v>20</v>
      </c>
      <c r="E408" s="7" t="s">
        <v>16</v>
      </c>
      <c r="F408" s="9" t="n">
        <v>6361</v>
      </c>
      <c r="G408" s="9" t="n">
        <v>6185</v>
      </c>
    </row>
    <row r="409" customFormat="false" ht="15" hidden="false" customHeight="false" outlineLevel="0" collapsed="false">
      <c r="B409" s="7" t="s">
        <v>33</v>
      </c>
      <c r="C409" s="8" t="n">
        <v>12</v>
      </c>
      <c r="D409" s="7" t="s">
        <v>20</v>
      </c>
      <c r="E409" s="7" t="s">
        <v>17</v>
      </c>
      <c r="F409" s="9" t="n">
        <v>4014</v>
      </c>
      <c r="G409" s="9" t="n">
        <v>2012</v>
      </c>
    </row>
    <row r="410" customFormat="false" ht="15" hidden="false" customHeight="false" outlineLevel="0" collapsed="false">
      <c r="B410" s="7" t="s">
        <v>33</v>
      </c>
      <c r="C410" s="8" t="n">
        <v>12</v>
      </c>
      <c r="D410" s="7" t="s">
        <v>20</v>
      </c>
      <c r="E410" s="7" t="s">
        <v>18</v>
      </c>
      <c r="F410" s="9" t="n">
        <v>6662</v>
      </c>
      <c r="G410" s="9" t="n">
        <v>6270</v>
      </c>
    </row>
    <row r="411" customFormat="false" ht="15" hidden="false" customHeight="false" outlineLevel="0" collapsed="false">
      <c r="B411" s="7" t="s">
        <v>33</v>
      </c>
      <c r="C411" s="8" t="n">
        <v>12</v>
      </c>
      <c r="D411" s="7" t="s">
        <v>21</v>
      </c>
      <c r="E411" s="7" t="s">
        <v>12</v>
      </c>
      <c r="F411" s="9" t="n">
        <v>66114</v>
      </c>
      <c r="G411" s="9" t="n">
        <v>62275</v>
      </c>
    </row>
    <row r="412" customFormat="false" ht="15" hidden="false" customHeight="false" outlineLevel="0" collapsed="false">
      <c r="B412" s="7" t="s">
        <v>33</v>
      </c>
      <c r="C412" s="8" t="n">
        <v>12</v>
      </c>
      <c r="D412" s="7" t="s">
        <v>21</v>
      </c>
      <c r="E412" s="7" t="s">
        <v>13</v>
      </c>
      <c r="F412" s="9" t="n">
        <v>30219</v>
      </c>
      <c r="G412" s="9" t="n">
        <v>31240</v>
      </c>
    </row>
    <row r="413" customFormat="false" ht="15" hidden="false" customHeight="false" outlineLevel="0" collapsed="false">
      <c r="B413" s="7" t="s">
        <v>33</v>
      </c>
      <c r="C413" s="8" t="n">
        <v>12</v>
      </c>
      <c r="D413" s="7" t="s">
        <v>21</v>
      </c>
      <c r="E413" s="7" t="s">
        <v>14</v>
      </c>
      <c r="F413" s="9" t="n">
        <v>5991</v>
      </c>
      <c r="G413" s="9" t="n">
        <v>6358</v>
      </c>
    </row>
    <row r="414" customFormat="false" ht="15" hidden="false" customHeight="false" outlineLevel="0" collapsed="false">
      <c r="B414" s="7" t="s">
        <v>33</v>
      </c>
      <c r="C414" s="8" t="n">
        <v>12</v>
      </c>
      <c r="D414" s="7" t="s">
        <v>21</v>
      </c>
      <c r="E414" s="7" t="s">
        <v>15</v>
      </c>
      <c r="F414" s="9" t="n">
        <v>4153</v>
      </c>
      <c r="G414" s="9" t="n">
        <v>4497</v>
      </c>
    </row>
    <row r="415" customFormat="false" ht="15" hidden="false" customHeight="false" outlineLevel="0" collapsed="false">
      <c r="B415" s="7" t="s">
        <v>33</v>
      </c>
      <c r="C415" s="8" t="n">
        <v>12</v>
      </c>
      <c r="D415" s="7" t="s">
        <v>21</v>
      </c>
      <c r="E415" s="7" t="s">
        <v>16</v>
      </c>
      <c r="F415" s="9" t="n">
        <v>3671</v>
      </c>
      <c r="G415" s="9" t="n">
        <v>3840</v>
      </c>
    </row>
    <row r="416" customFormat="false" ht="15" hidden="false" customHeight="false" outlineLevel="0" collapsed="false">
      <c r="B416" s="7" t="s">
        <v>33</v>
      </c>
      <c r="C416" s="8" t="n">
        <v>12</v>
      </c>
      <c r="D416" s="7" t="s">
        <v>21</v>
      </c>
      <c r="E416" s="7" t="s">
        <v>17</v>
      </c>
      <c r="F416" s="9" t="n">
        <v>2931</v>
      </c>
      <c r="G416" s="9" t="n">
        <v>3560</v>
      </c>
    </row>
    <row r="417" customFormat="false" ht="15" hidden="false" customHeight="false" outlineLevel="0" collapsed="false">
      <c r="B417" s="7" t="s">
        <v>33</v>
      </c>
      <c r="C417" s="8" t="n">
        <v>12</v>
      </c>
      <c r="D417" s="7" t="s">
        <v>21</v>
      </c>
      <c r="E417" s="7" t="s">
        <v>18</v>
      </c>
      <c r="F417" s="9" t="n">
        <v>2071</v>
      </c>
      <c r="G417" s="9" t="n">
        <v>1485</v>
      </c>
    </row>
    <row r="418" customFormat="false" ht="15" hidden="false" customHeight="false" outlineLevel="0" collapsed="false">
      <c r="B418" s="7" t="s">
        <v>33</v>
      </c>
      <c r="C418" s="8" t="n">
        <v>12</v>
      </c>
      <c r="D418" s="7" t="s">
        <v>22</v>
      </c>
      <c r="E418" s="7" t="s">
        <v>12</v>
      </c>
      <c r="F418" s="9" t="n">
        <v>90125</v>
      </c>
      <c r="G418" s="9" t="n">
        <v>102922</v>
      </c>
    </row>
    <row r="419" customFormat="false" ht="15" hidden="false" customHeight="false" outlineLevel="0" collapsed="false">
      <c r="B419" s="7" t="s">
        <v>33</v>
      </c>
      <c r="C419" s="8" t="n">
        <v>12</v>
      </c>
      <c r="D419" s="7" t="s">
        <v>22</v>
      </c>
      <c r="E419" s="7" t="s">
        <v>13</v>
      </c>
      <c r="F419" s="9" t="n">
        <v>43010</v>
      </c>
      <c r="G419" s="9" t="n">
        <v>41312</v>
      </c>
    </row>
    <row r="420" customFormat="false" ht="15" hidden="false" customHeight="false" outlineLevel="0" collapsed="false">
      <c r="B420" s="7" t="s">
        <v>33</v>
      </c>
      <c r="C420" s="8" t="n">
        <v>12</v>
      </c>
      <c r="D420" s="7" t="s">
        <v>22</v>
      </c>
      <c r="E420" s="7" t="s">
        <v>14</v>
      </c>
      <c r="F420" s="9" t="n">
        <v>7892</v>
      </c>
      <c r="G420" s="9" t="n">
        <v>9210</v>
      </c>
    </row>
    <row r="421" customFormat="false" ht="15" hidden="false" customHeight="false" outlineLevel="0" collapsed="false">
      <c r="B421" s="7" t="s">
        <v>33</v>
      </c>
      <c r="C421" s="8" t="n">
        <v>12</v>
      </c>
      <c r="D421" s="7" t="s">
        <v>22</v>
      </c>
      <c r="E421" s="7" t="s">
        <v>15</v>
      </c>
      <c r="F421" s="9" t="n">
        <v>6425</v>
      </c>
      <c r="G421" s="9" t="n">
        <v>5517</v>
      </c>
    </row>
    <row r="422" customFormat="false" ht="15" hidden="false" customHeight="false" outlineLevel="0" collapsed="false">
      <c r="B422" s="7" t="s">
        <v>33</v>
      </c>
      <c r="C422" s="8" t="n">
        <v>12</v>
      </c>
      <c r="D422" s="7" t="s">
        <v>22</v>
      </c>
      <c r="E422" s="7" t="s">
        <v>16</v>
      </c>
      <c r="F422" s="9" t="n">
        <v>4911</v>
      </c>
      <c r="G422" s="9" t="n">
        <v>5007</v>
      </c>
    </row>
    <row r="423" customFormat="false" ht="15" hidden="false" customHeight="false" outlineLevel="0" collapsed="false">
      <c r="B423" s="7" t="s">
        <v>33</v>
      </c>
      <c r="C423" s="8" t="n">
        <v>12</v>
      </c>
      <c r="D423" s="7" t="s">
        <v>22</v>
      </c>
      <c r="E423" s="7" t="s">
        <v>17</v>
      </c>
      <c r="F423" s="9" t="n">
        <v>3953</v>
      </c>
      <c r="G423" s="9" t="n">
        <v>3805</v>
      </c>
    </row>
    <row r="424" customFormat="false" ht="15" hidden="false" customHeight="false" outlineLevel="0" collapsed="false">
      <c r="B424" s="7" t="s">
        <v>33</v>
      </c>
      <c r="C424" s="8" t="n">
        <v>12</v>
      </c>
      <c r="D424" s="7" t="s">
        <v>22</v>
      </c>
      <c r="E424" s="7" t="s">
        <v>18</v>
      </c>
      <c r="F424" s="9" t="n">
        <v>4996</v>
      </c>
      <c r="G424" s="9" t="n">
        <v>4288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15" min="3" style="1" width="12"/>
  </cols>
  <sheetData>
    <row r="2" customFormat="false" ht="19.7" hidden="false" customHeight="false" outlineLevel="0" collapsed="false">
      <c r="B2" s="5" t="s">
        <v>34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customFormat="false" ht="15" hidden="false" customHeight="false" outlineLevel="0" collapsed="false">
      <c r="B4" s="6" t="s">
        <v>6</v>
      </c>
      <c r="C4" s="6" t="s">
        <v>10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35</v>
      </c>
    </row>
    <row r="5" customFormat="false" ht="15" hidden="false" customHeight="false" outlineLevel="0" collapsed="false">
      <c r="B5" s="10" t="s">
        <v>11</v>
      </c>
      <c r="C5" s="11" t="n">
        <f aca="false">IFERROR((SUMIFS(Data!$G$5:$G$424, Data!$B$5:$B$424, "Jan", Data!$D$5:$D$424, "Retail Banking")-SUMIFS(Data!$F$5:$F$424, Data!$B$5:$B$424, "Jan", Data!$D$5:$D$424, "Retail Banking"))/SUMIFS(Data!$F$5:$F$424, Data!$B$5:$B$424, "Jan", Data!$D$5:$D$424, "Retail Banking"), 0)</f>
        <v>0.105213866241981</v>
      </c>
      <c r="D5" s="11" t="n">
        <f aca="false">IFERROR((SUMIFS(Data!$G$5:$G$424, Data!$B$5:$B$424, "Feb", Data!$D$5:$D$424, "Retail Banking")-SUMIFS(Data!$F$5:$F$424, Data!$B$5:$B$424, "Feb", Data!$D$5:$D$424, "Retail Banking"))/SUMIFS(Data!$F$5:$F$424, Data!$B$5:$B$424, "Feb", Data!$D$5:$D$424, "Retail Banking"), 0)</f>
        <v>-0.0404226056514129</v>
      </c>
      <c r="E5" s="11" t="n">
        <f aca="false">IFERROR((SUMIFS(Data!$G$5:$G$424, Data!$B$5:$B$424, "Mar", Data!$D$5:$D$424, "Retail Banking")-SUMIFS(Data!$F$5:$F$424, Data!$B$5:$B$424, "Mar", Data!$D$5:$D$424, "Retail Banking"))/SUMIFS(Data!$F$5:$F$424, Data!$B$5:$B$424, "Mar", Data!$D$5:$D$424, "Retail Banking"), 0)</f>
        <v>0.117895605112429</v>
      </c>
      <c r="F5" s="11" t="n">
        <f aca="false">IFERROR((SUMIFS(Data!$G$5:$G$424, Data!$B$5:$B$424, "Apr", Data!$D$5:$D$424, "Retail Banking")-SUMIFS(Data!$F$5:$F$424, Data!$B$5:$B$424, "Apr", Data!$D$5:$D$424, "Retail Banking"))/SUMIFS(Data!$F$5:$F$424, Data!$B$5:$B$424, "Apr", Data!$D$5:$D$424, "Retail Banking"), 0)</f>
        <v>0.0574371845436743</v>
      </c>
      <c r="G5" s="11" t="n">
        <f aca="false">IFERROR((SUMIFS(Data!$G$5:$G$424, Data!$B$5:$B$424, "May", Data!$D$5:$D$424, "Retail Banking")-SUMIFS(Data!$F$5:$F$424, Data!$B$5:$B$424, "May", Data!$D$5:$D$424, "Retail Banking"))/SUMIFS(Data!$F$5:$F$424, Data!$B$5:$B$424, "May", Data!$D$5:$D$424, "Retail Banking"), 0)</f>
        <v>0.00856402024941351</v>
      </c>
      <c r="H5" s="11" t="n">
        <f aca="false">IFERROR((SUMIFS(Data!$G$5:$G$424, Data!$B$5:$B$424, "Jun", Data!$D$5:$D$424, "Retail Banking")-SUMIFS(Data!$F$5:$F$424, Data!$B$5:$B$424, "Jun", Data!$D$5:$D$424, "Retail Banking"))/SUMIFS(Data!$F$5:$F$424, Data!$B$5:$B$424, "Jun", Data!$D$5:$D$424, "Retail Banking"), 0)</f>
        <v>-0.0106464250734574</v>
      </c>
      <c r="I5" s="11" t="n">
        <f aca="false">IFERROR((SUMIFS(Data!$G$5:$G$424, Data!$B$5:$B$424, "Jul", Data!$D$5:$D$424, "Retail Banking")-SUMIFS(Data!$F$5:$F$424, Data!$B$5:$B$424, "Jul", Data!$D$5:$D$424, "Retail Banking"))/SUMIFS(Data!$F$5:$F$424, Data!$B$5:$B$424, "Jul", Data!$D$5:$D$424, "Retail Banking"), 0)</f>
        <v>-0.0513705467925497</v>
      </c>
      <c r="J5" s="11" t="n">
        <f aca="false">IFERROR((SUMIFS(Data!$G$5:$G$424, Data!$B$5:$B$424, "Aug", Data!$D$5:$D$424, "Retail Banking")-SUMIFS(Data!$F$5:$F$424, Data!$B$5:$B$424, "Aug", Data!$D$5:$D$424, "Retail Banking"))/SUMIFS(Data!$F$5:$F$424, Data!$B$5:$B$424, "Aug", Data!$D$5:$D$424, "Retail Banking"), 0)</f>
        <v>-0.0592600772037341</v>
      </c>
      <c r="K5" s="11" t="n">
        <f aca="false">IFERROR((SUMIFS(Data!$G$5:$G$424, Data!$B$5:$B$424, "Sep", Data!$D$5:$D$424, "Retail Banking")-SUMIFS(Data!$F$5:$F$424, Data!$B$5:$B$424, "Sep", Data!$D$5:$D$424, "Retail Banking"))/SUMIFS(Data!$F$5:$F$424, Data!$B$5:$B$424, "Sep", Data!$D$5:$D$424, "Retail Banking"), 0)</f>
        <v>0.027035669248784</v>
      </c>
      <c r="L5" s="11" t="n">
        <f aca="false">IFERROR((SUMIFS(Data!$G$5:$G$424, Data!$B$5:$B$424, "Oct", Data!$D$5:$D$424, "Retail Banking")-SUMIFS(Data!$F$5:$F$424, Data!$B$5:$B$424, "Oct", Data!$D$5:$D$424, "Retail Banking"))/SUMIFS(Data!$F$5:$F$424, Data!$B$5:$B$424, "Oct", Data!$D$5:$D$424, "Retail Banking"), 0)</f>
        <v>-0.0365286305482676</v>
      </c>
      <c r="M5" s="11" t="n">
        <f aca="false">IFERROR((SUMIFS(Data!$G$5:$G$424, Data!$B$5:$B$424, "Nov", Data!$D$5:$D$424, "Retail Banking")-SUMIFS(Data!$F$5:$F$424, Data!$B$5:$B$424, "Nov", Data!$D$5:$D$424, "Retail Banking"))/SUMIFS(Data!$F$5:$F$424, Data!$B$5:$B$424, "Nov", Data!$D$5:$D$424, "Retail Banking"), 0)</f>
        <v>0.0342803110490142</v>
      </c>
      <c r="N5" s="11" t="n">
        <f aca="false">IFERROR((SUMIFS(Data!$G$5:$G$424, Data!$B$5:$B$424, "Dec", Data!$D$5:$D$424, "Retail Banking")-SUMIFS(Data!$F$5:$F$424, Data!$B$5:$B$424, "Dec", Data!$D$5:$D$424, "Retail Banking"))/SUMIFS(Data!$F$5:$F$424, Data!$B$5:$B$424, "Dec", Data!$D$5:$D$424, "Retail Banking"), 0)</f>
        <v>-0.0274986329667659</v>
      </c>
      <c r="O5" s="12" t="n">
        <f aca="false">IFERROR((SUMIFS(Data!$G$5:$G$424, Data!$D$5:$D$424, "Retail Banking")-SUMIFS(Data!$F$5:$F$424, Data!$D$5:$D$424, "Retail Banking"))/SUMIFS(Data!$F$5:$F$424, Data!$D$5:$D$424, "Retail Banking"), 0)</f>
        <v>0.0106778033048926</v>
      </c>
    </row>
    <row r="6" customFormat="false" ht="15" hidden="false" customHeight="false" outlineLevel="0" collapsed="false">
      <c r="B6" s="10" t="s">
        <v>19</v>
      </c>
      <c r="C6" s="11" t="n">
        <f aca="false">IFERROR((SUMIFS(Data!$G$5:$G$424, Data!$B$5:$B$424, "Jan", Data!$D$5:$D$424, "Corporate Finance")-SUMIFS(Data!$F$5:$F$424, Data!$B$5:$B$424, "Jan", Data!$D$5:$D$424, "Corporate Finance"))/SUMIFS(Data!$F$5:$F$424, Data!$B$5:$B$424, "Jan", Data!$D$5:$D$424, "Corporate Finance"), 0)</f>
        <v>-0.0639009016139826</v>
      </c>
      <c r="D6" s="11" t="n">
        <f aca="false">IFERROR((SUMIFS(Data!$G$5:$G$424, Data!$B$5:$B$424, "Feb", Data!$D$5:$D$424, "Corporate Finance")-SUMIFS(Data!$F$5:$F$424, Data!$B$5:$B$424, "Feb", Data!$D$5:$D$424, "Corporate Finance"))/SUMIFS(Data!$F$5:$F$424, Data!$B$5:$B$424, "Feb", Data!$D$5:$D$424, "Corporate Finance"), 0)</f>
        <v>0.0830699518549986</v>
      </c>
      <c r="E6" s="11" t="n">
        <f aca="false">IFERROR((SUMIFS(Data!$G$5:$G$424, Data!$B$5:$B$424, "Mar", Data!$D$5:$D$424, "Corporate Finance")-SUMIFS(Data!$F$5:$F$424, Data!$B$5:$B$424, "Mar", Data!$D$5:$D$424, "Corporate Finance"))/SUMIFS(Data!$F$5:$F$424, Data!$B$5:$B$424, "Mar", Data!$D$5:$D$424, "Corporate Finance"), 0)</f>
        <v>0.0671861795551817</v>
      </c>
      <c r="F6" s="11" t="n">
        <f aca="false">IFERROR((SUMIFS(Data!$G$5:$G$424, Data!$B$5:$B$424, "Apr", Data!$D$5:$D$424, "Corporate Finance")-SUMIFS(Data!$F$5:$F$424, Data!$B$5:$B$424, "Apr", Data!$D$5:$D$424, "Corporate Finance"))/SUMIFS(Data!$F$5:$F$424, Data!$B$5:$B$424, "Apr", Data!$D$5:$D$424, "Corporate Finance"), 0)</f>
        <v>0.124851300240117</v>
      </c>
      <c r="G6" s="11" t="n">
        <f aca="false">IFERROR((SUMIFS(Data!$G$5:$G$424, Data!$B$5:$B$424, "May", Data!$D$5:$D$424, "Corporate Finance")-SUMIFS(Data!$F$5:$F$424, Data!$B$5:$B$424, "May", Data!$D$5:$D$424, "Corporate Finance"))/SUMIFS(Data!$F$5:$F$424, Data!$B$5:$B$424, "May", Data!$D$5:$D$424, "Corporate Finance"), 0)</f>
        <v>0.109204464884174</v>
      </c>
      <c r="H6" s="11" t="n">
        <f aca="false">IFERROR((SUMIFS(Data!$G$5:$G$424, Data!$B$5:$B$424, "Jun", Data!$D$5:$D$424, "Corporate Finance")-SUMIFS(Data!$F$5:$F$424, Data!$B$5:$B$424, "Jun", Data!$D$5:$D$424, "Corporate Finance"))/SUMIFS(Data!$F$5:$F$424, Data!$B$5:$B$424, "Jun", Data!$D$5:$D$424, "Corporate Finance"), 0)</f>
        <v>0.0983569825344887</v>
      </c>
      <c r="I6" s="11" t="n">
        <f aca="false">IFERROR((SUMIFS(Data!$G$5:$G$424, Data!$B$5:$B$424, "Jul", Data!$D$5:$D$424, "Corporate Finance")-SUMIFS(Data!$F$5:$F$424, Data!$B$5:$B$424, "Jul", Data!$D$5:$D$424, "Corporate Finance"))/SUMIFS(Data!$F$5:$F$424, Data!$B$5:$B$424, "Jul", Data!$D$5:$D$424, "Corporate Finance"), 0)</f>
        <v>0.0837806005593558</v>
      </c>
      <c r="J6" s="11" t="n">
        <f aca="false">IFERROR((SUMIFS(Data!$G$5:$G$424, Data!$B$5:$B$424, "Aug", Data!$D$5:$D$424, "Corporate Finance")-SUMIFS(Data!$F$5:$F$424, Data!$B$5:$B$424, "Aug", Data!$D$5:$D$424, "Corporate Finance"))/SUMIFS(Data!$F$5:$F$424, Data!$B$5:$B$424, "Aug", Data!$D$5:$D$424, "Corporate Finance"), 0)</f>
        <v>-0.0847877383559023</v>
      </c>
      <c r="K6" s="11" t="n">
        <f aca="false">IFERROR((SUMIFS(Data!$G$5:$G$424, Data!$B$5:$B$424, "Sep", Data!$D$5:$D$424, "Corporate Finance")-SUMIFS(Data!$F$5:$F$424, Data!$B$5:$B$424, "Sep", Data!$D$5:$D$424, "Corporate Finance"))/SUMIFS(Data!$F$5:$F$424, Data!$B$5:$B$424, "Sep", Data!$D$5:$D$424, "Corporate Finance"), 0)</f>
        <v>0.0921498959375395</v>
      </c>
      <c r="L6" s="11" t="n">
        <f aca="false">IFERROR((SUMIFS(Data!$G$5:$G$424, Data!$B$5:$B$424, "Oct", Data!$D$5:$D$424, "Corporate Finance")-SUMIFS(Data!$F$5:$F$424, Data!$B$5:$B$424, "Oct", Data!$D$5:$D$424, "Corporate Finance"))/SUMIFS(Data!$F$5:$F$424, Data!$B$5:$B$424, "Oct", Data!$D$5:$D$424, "Corporate Finance"), 0)</f>
        <v>-0.0279882154882155</v>
      </c>
      <c r="M6" s="11" t="n">
        <f aca="false">IFERROR((SUMIFS(Data!$G$5:$G$424, Data!$B$5:$B$424, "Nov", Data!$D$5:$D$424, "Corporate Finance")-SUMIFS(Data!$F$5:$F$424, Data!$B$5:$B$424, "Nov", Data!$D$5:$D$424, "Corporate Finance"))/SUMIFS(Data!$F$5:$F$424, Data!$B$5:$B$424, "Nov", Data!$D$5:$D$424, "Corporate Finance"), 0)</f>
        <v>-0.00867008978596048</v>
      </c>
      <c r="N6" s="11" t="n">
        <f aca="false">IFERROR((SUMIFS(Data!$G$5:$G$424, Data!$B$5:$B$424, "Dec", Data!$D$5:$D$424, "Corporate Finance")-SUMIFS(Data!$F$5:$F$424, Data!$B$5:$B$424, "Dec", Data!$D$5:$D$424, "Corporate Finance"))/SUMIFS(Data!$F$5:$F$424, Data!$B$5:$B$424, "Dec", Data!$D$5:$D$424, "Corporate Finance"), 0)</f>
        <v>0.0506898652716739</v>
      </c>
      <c r="O6" s="12" t="n">
        <f aca="false">IFERROR((SUMIFS(Data!$G$5:$G$424, Data!$D$5:$D$424, "Corporate Finance")-SUMIFS(Data!$F$5:$F$424, Data!$D$5:$D$424, "Corporate Finance"))/SUMIFS(Data!$F$5:$F$424, Data!$D$5:$D$424, "Corporate Finance"), 0)</f>
        <v>0.0426877816549955</v>
      </c>
    </row>
    <row r="7" customFormat="false" ht="15" hidden="false" customHeight="false" outlineLevel="0" collapsed="false">
      <c r="B7" s="10" t="s">
        <v>20</v>
      </c>
      <c r="C7" s="11" t="n">
        <f aca="false">IFERROR((SUMIFS(Data!$G$5:$G$424, Data!$B$5:$B$424, "Jan", Data!$D$5:$D$424, "Wealth Management")-SUMIFS(Data!$F$5:$F$424, Data!$B$5:$B$424, "Jan", Data!$D$5:$D$424, "Wealth Management"))/SUMIFS(Data!$F$5:$F$424, Data!$B$5:$B$424, "Jan", Data!$D$5:$D$424, "Wealth Management"), 0)</f>
        <v>0.015841933013965</v>
      </c>
      <c r="D7" s="11" t="n">
        <f aca="false">IFERROR((SUMIFS(Data!$G$5:$G$424, Data!$B$5:$B$424, "Feb", Data!$D$5:$D$424, "Wealth Management")-SUMIFS(Data!$F$5:$F$424, Data!$B$5:$B$424, "Feb", Data!$D$5:$D$424, "Wealth Management"))/SUMIFS(Data!$F$5:$F$424, Data!$B$5:$B$424, "Feb", Data!$D$5:$D$424, "Wealth Management"), 0)</f>
        <v>-0.100965290849823</v>
      </c>
      <c r="E7" s="11" t="n">
        <f aca="false">IFERROR((SUMIFS(Data!$G$5:$G$424, Data!$B$5:$B$424, "Mar", Data!$D$5:$D$424, "Wealth Management")-SUMIFS(Data!$F$5:$F$424, Data!$B$5:$B$424, "Mar", Data!$D$5:$D$424, "Wealth Management"))/SUMIFS(Data!$F$5:$F$424, Data!$B$5:$B$424, "Mar", Data!$D$5:$D$424, "Wealth Management"), 0)</f>
        <v>0.0291751521054429</v>
      </c>
      <c r="F7" s="11" t="n">
        <f aca="false">IFERROR((SUMIFS(Data!$G$5:$G$424, Data!$B$5:$B$424, "Apr", Data!$D$5:$D$424, "Wealth Management")-SUMIFS(Data!$F$5:$F$424, Data!$B$5:$B$424, "Apr", Data!$D$5:$D$424, "Wealth Management"))/SUMIFS(Data!$F$5:$F$424, Data!$B$5:$B$424, "Apr", Data!$D$5:$D$424, "Wealth Management"), 0)</f>
        <v>0.12183179263127</v>
      </c>
      <c r="G7" s="11" t="n">
        <f aca="false">IFERROR((SUMIFS(Data!$G$5:$G$424, Data!$B$5:$B$424, "May", Data!$D$5:$D$424, "Wealth Management")-SUMIFS(Data!$F$5:$F$424, Data!$B$5:$B$424, "May", Data!$D$5:$D$424, "Wealth Management"))/SUMIFS(Data!$F$5:$F$424, Data!$B$5:$B$424, "May", Data!$D$5:$D$424, "Wealth Management"), 0)</f>
        <v>0.0458888141525883</v>
      </c>
      <c r="H7" s="11" t="n">
        <f aca="false">IFERROR((SUMIFS(Data!$G$5:$G$424, Data!$B$5:$B$424, "Jun", Data!$D$5:$D$424, "Wealth Management")-SUMIFS(Data!$F$5:$F$424, Data!$B$5:$B$424, "Jun", Data!$D$5:$D$424, "Wealth Management"))/SUMIFS(Data!$F$5:$F$424, Data!$B$5:$B$424, "Jun", Data!$D$5:$D$424, "Wealth Management"), 0)</f>
        <v>-0.0641802369034947</v>
      </c>
      <c r="I7" s="11" t="n">
        <f aca="false">IFERROR((SUMIFS(Data!$G$5:$G$424, Data!$B$5:$B$424, "Jul", Data!$D$5:$D$424, "Wealth Management")-SUMIFS(Data!$F$5:$F$424, Data!$B$5:$B$424, "Jul", Data!$D$5:$D$424, "Wealth Management"))/SUMIFS(Data!$F$5:$F$424, Data!$B$5:$B$424, "Jul", Data!$D$5:$D$424, "Wealth Management"), 0)</f>
        <v>0.102529327050796</v>
      </c>
      <c r="J7" s="11" t="n">
        <f aca="false">IFERROR((SUMIFS(Data!$G$5:$G$424, Data!$B$5:$B$424, "Aug", Data!$D$5:$D$424, "Wealth Management")-SUMIFS(Data!$F$5:$F$424, Data!$B$5:$B$424, "Aug", Data!$D$5:$D$424, "Wealth Management"))/SUMIFS(Data!$F$5:$F$424, Data!$B$5:$B$424, "Aug", Data!$D$5:$D$424, "Wealth Management"), 0)</f>
        <v>-0.00525774992338707</v>
      </c>
      <c r="K7" s="11" t="n">
        <f aca="false">IFERROR((SUMIFS(Data!$G$5:$G$424, Data!$B$5:$B$424, "Sep", Data!$D$5:$D$424, "Wealth Management")-SUMIFS(Data!$F$5:$F$424, Data!$B$5:$B$424, "Sep", Data!$D$5:$D$424, "Wealth Management"))/SUMIFS(Data!$F$5:$F$424, Data!$B$5:$B$424, "Sep", Data!$D$5:$D$424, "Wealth Management"), 0)</f>
        <v>0.0345009200678835</v>
      </c>
      <c r="L7" s="11" t="n">
        <f aca="false">IFERROR((SUMIFS(Data!$G$5:$G$424, Data!$B$5:$B$424, "Oct", Data!$D$5:$D$424, "Wealth Management")-SUMIFS(Data!$F$5:$F$424, Data!$B$5:$B$424, "Oct", Data!$D$5:$D$424, "Wealth Management"))/SUMIFS(Data!$F$5:$F$424, Data!$B$5:$B$424, "Oct", Data!$D$5:$D$424, "Wealth Management"), 0)</f>
        <v>0.0907986765506555</v>
      </c>
      <c r="M7" s="11" t="n">
        <f aca="false">IFERROR((SUMIFS(Data!$G$5:$G$424, Data!$B$5:$B$424, "Nov", Data!$D$5:$D$424, "Wealth Management")-SUMIFS(Data!$F$5:$F$424, Data!$B$5:$B$424, "Nov", Data!$D$5:$D$424, "Wealth Management"))/SUMIFS(Data!$F$5:$F$424, Data!$B$5:$B$424, "Nov", Data!$D$5:$D$424, "Wealth Management"), 0)</f>
        <v>-0.0202132888567342</v>
      </c>
      <c r="N7" s="11" t="n">
        <f aca="false">IFERROR((SUMIFS(Data!$G$5:$G$424, Data!$B$5:$B$424, "Dec", Data!$D$5:$D$424, "Wealth Management")-SUMIFS(Data!$F$5:$F$424, Data!$B$5:$B$424, "Dec", Data!$D$5:$D$424, "Wealth Management"))/SUMIFS(Data!$F$5:$F$424, Data!$B$5:$B$424, "Dec", Data!$D$5:$D$424, "Wealth Management"), 0)</f>
        <v>0.00861511105108857</v>
      </c>
      <c r="O7" s="12" t="n">
        <f aca="false">IFERROR((SUMIFS(Data!$G$5:$G$424, Data!$D$5:$D$424, "Wealth Management")-SUMIFS(Data!$F$5:$F$424, Data!$D$5:$D$424, "Wealth Management"))/SUMIFS(Data!$F$5:$F$424, Data!$D$5:$D$424, "Wealth Management"), 0)</f>
        <v>0.0201656340546516</v>
      </c>
    </row>
    <row r="8" customFormat="false" ht="15" hidden="false" customHeight="false" outlineLevel="0" collapsed="false">
      <c r="B8" s="10" t="s">
        <v>21</v>
      </c>
      <c r="C8" s="11" t="n">
        <f aca="false">IFERROR((SUMIFS(Data!$G$5:$G$424, Data!$B$5:$B$424, "Jan", Data!$D$5:$D$424, "Compliance")-SUMIFS(Data!$F$5:$F$424, Data!$B$5:$B$424, "Jan", Data!$D$5:$D$424, "Compliance"))/SUMIFS(Data!$F$5:$F$424, Data!$B$5:$B$424, "Jan", Data!$D$5:$D$424, "Compliance"), 0)</f>
        <v>0.0353306597467956</v>
      </c>
      <c r="D8" s="11" t="n">
        <f aca="false">IFERROR((SUMIFS(Data!$G$5:$G$424, Data!$B$5:$B$424, "Feb", Data!$D$5:$D$424, "Compliance")-SUMIFS(Data!$F$5:$F$424, Data!$B$5:$B$424, "Feb", Data!$D$5:$D$424, "Compliance"))/SUMIFS(Data!$F$5:$F$424, Data!$B$5:$B$424, "Feb", Data!$D$5:$D$424, "Compliance"), 0)</f>
        <v>0.0128575592288795</v>
      </c>
      <c r="E8" s="11" t="n">
        <f aca="false">IFERROR((SUMIFS(Data!$G$5:$G$424, Data!$B$5:$B$424, "Mar", Data!$D$5:$D$424, "Compliance")-SUMIFS(Data!$F$5:$F$424, Data!$B$5:$B$424, "Mar", Data!$D$5:$D$424, "Compliance"))/SUMIFS(Data!$F$5:$F$424, Data!$B$5:$B$424, "Mar", Data!$D$5:$D$424, "Compliance"), 0)</f>
        <v>0.0472129865049873</v>
      </c>
      <c r="F8" s="11" t="n">
        <f aca="false">IFERROR((SUMIFS(Data!$G$5:$G$424, Data!$B$5:$B$424, "Apr", Data!$D$5:$D$424, "Compliance")-SUMIFS(Data!$F$5:$F$424, Data!$B$5:$B$424, "Apr", Data!$D$5:$D$424, "Compliance"))/SUMIFS(Data!$F$5:$F$424, Data!$B$5:$B$424, "Apr", Data!$D$5:$D$424, "Compliance"), 0)</f>
        <v>0.00356756247940886</v>
      </c>
      <c r="G8" s="11" t="n">
        <f aca="false">IFERROR((SUMIFS(Data!$G$5:$G$424, Data!$B$5:$B$424, "May", Data!$D$5:$D$424, "Compliance")-SUMIFS(Data!$F$5:$F$424, Data!$B$5:$B$424, "May", Data!$D$5:$D$424, "Compliance"))/SUMIFS(Data!$F$5:$F$424, Data!$B$5:$B$424, "May", Data!$D$5:$D$424, "Compliance"), 0)</f>
        <v>-0.0380560051002893</v>
      </c>
      <c r="H8" s="11" t="n">
        <f aca="false">IFERROR((SUMIFS(Data!$G$5:$G$424, Data!$B$5:$B$424, "Jun", Data!$D$5:$D$424, "Compliance")-SUMIFS(Data!$F$5:$F$424, Data!$B$5:$B$424, "Jun", Data!$D$5:$D$424, "Compliance"))/SUMIFS(Data!$F$5:$F$424, Data!$B$5:$B$424, "Jun", Data!$D$5:$D$424, "Compliance"), 0)</f>
        <v>-0.0506767520014799</v>
      </c>
      <c r="I8" s="11" t="n">
        <f aca="false">IFERROR((SUMIFS(Data!$G$5:$G$424, Data!$B$5:$B$424, "Jul", Data!$D$5:$D$424, "Compliance")-SUMIFS(Data!$F$5:$F$424, Data!$B$5:$B$424, "Jul", Data!$D$5:$D$424, "Compliance"))/SUMIFS(Data!$F$5:$F$424, Data!$B$5:$B$424, "Jul", Data!$D$5:$D$424, "Compliance"), 0)</f>
        <v>0.112629077200459</v>
      </c>
      <c r="J8" s="11" t="n">
        <f aca="false">IFERROR((SUMIFS(Data!$G$5:$G$424, Data!$B$5:$B$424, "Aug", Data!$D$5:$D$424, "Compliance")-SUMIFS(Data!$F$5:$F$424, Data!$B$5:$B$424, "Aug", Data!$D$5:$D$424, "Compliance"))/SUMIFS(Data!$F$5:$F$424, Data!$B$5:$B$424, "Aug", Data!$D$5:$D$424, "Compliance"), 0)</f>
        <v>-0.0324669364595936</v>
      </c>
      <c r="K8" s="11" t="n">
        <f aca="false">IFERROR((SUMIFS(Data!$G$5:$G$424, Data!$B$5:$B$424, "Sep", Data!$D$5:$D$424, "Compliance")-SUMIFS(Data!$F$5:$F$424, Data!$B$5:$B$424, "Sep", Data!$D$5:$D$424, "Compliance"))/SUMIFS(Data!$F$5:$F$424, Data!$B$5:$B$424, "Sep", Data!$D$5:$D$424, "Compliance"), 0)</f>
        <v>-0.0645870905091262</v>
      </c>
      <c r="L8" s="11" t="n">
        <f aca="false">IFERROR((SUMIFS(Data!$G$5:$G$424, Data!$B$5:$B$424, "Oct", Data!$D$5:$D$424, "Compliance")-SUMIFS(Data!$F$5:$F$424, Data!$B$5:$B$424, "Oct", Data!$D$5:$D$424, "Compliance"))/SUMIFS(Data!$F$5:$F$424, Data!$B$5:$B$424, "Oct", Data!$D$5:$D$424, "Compliance"), 0)</f>
        <v>0.0683929411547651</v>
      </c>
      <c r="M8" s="11" t="n">
        <f aca="false">IFERROR((SUMIFS(Data!$G$5:$G$424, Data!$B$5:$B$424, "Nov", Data!$D$5:$D$424, "Compliance")-SUMIFS(Data!$F$5:$F$424, Data!$B$5:$B$424, "Nov", Data!$D$5:$D$424, "Compliance"))/SUMIFS(Data!$F$5:$F$424, Data!$B$5:$B$424, "Nov", Data!$D$5:$D$424, "Compliance"), 0)</f>
        <v>-0.00597200726734405</v>
      </c>
      <c r="N8" s="11" t="n">
        <f aca="false">IFERROR((SUMIFS(Data!$G$5:$G$424, Data!$B$5:$B$424, "Dec", Data!$D$5:$D$424, "Compliance")-SUMIFS(Data!$F$5:$F$424, Data!$B$5:$B$424, "Dec", Data!$D$5:$D$424, "Compliance"))/SUMIFS(Data!$F$5:$F$424, Data!$B$5:$B$424, "Dec", Data!$D$5:$D$424, "Compliance"), 0)</f>
        <v>-0.0164567954841511</v>
      </c>
      <c r="O8" s="12" t="n">
        <f aca="false">IFERROR((SUMIFS(Data!$G$5:$G$424, Data!$D$5:$D$424, "Compliance")-SUMIFS(Data!$F$5:$F$424, Data!$D$5:$D$424, "Compliance"))/SUMIFS(Data!$F$5:$F$424, Data!$D$5:$D$424, "Compliance"), 0)</f>
        <v>0.0078911710808278</v>
      </c>
    </row>
    <row r="9" customFormat="false" ht="15" hidden="false" customHeight="false" outlineLevel="0" collapsed="false">
      <c r="B9" s="10" t="s">
        <v>22</v>
      </c>
      <c r="C9" s="11" t="n">
        <f aca="false">IFERROR((SUMIFS(Data!$G$5:$G$424, Data!$B$5:$B$424, "Jan", Data!$D$5:$D$424, "Operations")-SUMIFS(Data!$F$5:$F$424, Data!$B$5:$B$424, "Jan", Data!$D$5:$D$424, "Operations"))/SUMIFS(Data!$F$5:$F$424, Data!$B$5:$B$424, "Jan", Data!$D$5:$D$424, "Operations"), 0)</f>
        <v>0.0358290038157242</v>
      </c>
      <c r="D9" s="11" t="n">
        <f aca="false">IFERROR((SUMIFS(Data!$G$5:$G$424, Data!$B$5:$B$424, "Feb", Data!$D$5:$D$424, "Operations")-SUMIFS(Data!$F$5:$F$424, Data!$B$5:$B$424, "Feb", Data!$D$5:$D$424, "Operations"))/SUMIFS(Data!$F$5:$F$424, Data!$B$5:$B$424, "Feb", Data!$D$5:$D$424, "Operations"), 0)</f>
        <v>-0.0408851258710617</v>
      </c>
      <c r="E9" s="11" t="n">
        <f aca="false">IFERROR((SUMIFS(Data!$G$5:$G$424, Data!$B$5:$B$424, "Mar", Data!$D$5:$D$424, "Operations")-SUMIFS(Data!$F$5:$F$424, Data!$B$5:$B$424, "Mar", Data!$D$5:$D$424, "Operations"))/SUMIFS(Data!$F$5:$F$424, Data!$B$5:$B$424, "Mar", Data!$D$5:$D$424, "Operations"), 0)</f>
        <v>0.117661267405513</v>
      </c>
      <c r="F9" s="11" t="n">
        <f aca="false">IFERROR((SUMIFS(Data!$G$5:$G$424, Data!$B$5:$B$424, "Apr", Data!$D$5:$D$424, "Operations")-SUMIFS(Data!$F$5:$F$424, Data!$B$5:$B$424, "Apr", Data!$D$5:$D$424, "Operations"))/SUMIFS(Data!$F$5:$F$424, Data!$B$5:$B$424, "Apr", Data!$D$5:$D$424, "Operations"), 0)</f>
        <v>0.112274794615299</v>
      </c>
      <c r="G9" s="11" t="n">
        <f aca="false">IFERROR((SUMIFS(Data!$G$5:$G$424, Data!$B$5:$B$424, "May", Data!$D$5:$D$424, "Operations")-SUMIFS(Data!$F$5:$F$424, Data!$B$5:$B$424, "May", Data!$D$5:$D$424, "Operations"))/SUMIFS(Data!$F$5:$F$424, Data!$B$5:$B$424, "May", Data!$D$5:$D$424, "Operations"), 0)</f>
        <v>0.0491520606347703</v>
      </c>
      <c r="H9" s="11" t="n">
        <f aca="false">IFERROR((SUMIFS(Data!$G$5:$G$424, Data!$B$5:$B$424, "Jun", Data!$D$5:$D$424, "Operations")-SUMIFS(Data!$F$5:$F$424, Data!$B$5:$B$424, "Jun", Data!$D$5:$D$424, "Operations"))/SUMIFS(Data!$F$5:$F$424, Data!$B$5:$B$424, "Jun", Data!$D$5:$D$424, "Operations"), 0)</f>
        <v>0.0911760523761538</v>
      </c>
      <c r="I9" s="11" t="n">
        <f aca="false">IFERROR((SUMIFS(Data!$G$5:$G$424, Data!$B$5:$B$424, "Jul", Data!$D$5:$D$424, "Operations")-SUMIFS(Data!$F$5:$F$424, Data!$B$5:$B$424, "Jul", Data!$D$5:$D$424, "Operations"))/SUMIFS(Data!$F$5:$F$424, Data!$B$5:$B$424, "Jul", Data!$D$5:$D$424, "Operations"), 0)</f>
        <v>-0.0865910741377203</v>
      </c>
      <c r="J9" s="11" t="n">
        <f aca="false">IFERROR((SUMIFS(Data!$G$5:$G$424, Data!$B$5:$B$424, "Aug", Data!$D$5:$D$424, "Operations")-SUMIFS(Data!$F$5:$F$424, Data!$B$5:$B$424, "Aug", Data!$D$5:$D$424, "Operations"))/SUMIFS(Data!$F$5:$F$424, Data!$B$5:$B$424, "Aug", Data!$D$5:$D$424, "Operations"), 0)</f>
        <v>0.0978753980106512</v>
      </c>
      <c r="K9" s="11" t="n">
        <f aca="false">IFERROR((SUMIFS(Data!$G$5:$G$424, Data!$B$5:$B$424, "Sep", Data!$D$5:$D$424, "Operations")-SUMIFS(Data!$F$5:$F$424, Data!$B$5:$B$424, "Sep", Data!$D$5:$D$424, "Operations"))/SUMIFS(Data!$F$5:$F$424, Data!$B$5:$B$424, "Sep", Data!$D$5:$D$424, "Operations"), 0)</f>
        <v>-0.0382062661455918</v>
      </c>
      <c r="L9" s="11" t="n">
        <f aca="false">IFERROR((SUMIFS(Data!$G$5:$G$424, Data!$B$5:$B$424, "Oct", Data!$D$5:$D$424, "Operations")-SUMIFS(Data!$F$5:$F$424, Data!$B$5:$B$424, "Oct", Data!$D$5:$D$424, "Operations"))/SUMIFS(Data!$F$5:$F$424, Data!$B$5:$B$424, "Oct", Data!$D$5:$D$424, "Operations"), 0)</f>
        <v>0.0960756265936936</v>
      </c>
      <c r="M9" s="11" t="n">
        <f aca="false">IFERROR((SUMIFS(Data!$G$5:$G$424, Data!$B$5:$B$424, "Nov", Data!$D$5:$D$424, "Operations")-SUMIFS(Data!$F$5:$F$424, Data!$B$5:$B$424, "Nov", Data!$D$5:$D$424, "Operations"))/SUMIFS(Data!$F$5:$F$424, Data!$B$5:$B$424, "Nov", Data!$D$5:$D$424, "Operations"), 0)</f>
        <v>-0.0241461278618791</v>
      </c>
      <c r="N9" s="11" t="n">
        <f aca="false">IFERROR((SUMIFS(Data!$G$5:$G$424, Data!$B$5:$B$424, "Dec", Data!$D$5:$D$424, "Operations")-SUMIFS(Data!$F$5:$F$424, Data!$B$5:$B$424, "Dec", Data!$D$5:$D$424, "Operations"))/SUMIFS(Data!$F$5:$F$424, Data!$B$5:$B$424, "Dec", Data!$D$5:$D$424, "Operations"), 0)</f>
        <v>0.0666348442769292</v>
      </c>
      <c r="O9" s="12" t="n">
        <f aca="false">IFERROR((SUMIFS(Data!$G$5:$G$424, Data!$D$5:$D$424, "Operations")-SUMIFS(Data!$F$5:$F$424, Data!$D$5:$D$424, "Operations"))/SUMIFS(Data!$F$5:$F$424, Data!$D$5:$D$424, "Operations"), 0)</f>
        <v>0.0414481210984631</v>
      </c>
    </row>
    <row r="12" customFormat="false" ht="16.15" hidden="false" customHeight="false" outlineLevel="0" collapsed="false">
      <c r="B12" s="13" t="s">
        <v>36</v>
      </c>
      <c r="C12" s="13"/>
      <c r="D12" s="13"/>
      <c r="E12" s="13"/>
      <c r="F12" s="13"/>
    </row>
    <row r="14" customFormat="false" ht="15" hidden="false" customHeight="false" outlineLevel="0" collapsed="false">
      <c r="B14" s="10" t="s">
        <v>37</v>
      </c>
      <c r="C14" s="14" t="s">
        <v>27</v>
      </c>
    </row>
    <row r="15" customFormat="false" ht="15" hidden="false" customHeight="false" outlineLevel="0" collapsed="false">
      <c r="B15" s="10" t="s">
        <v>38</v>
      </c>
      <c r="C15" s="14" t="s">
        <v>19</v>
      </c>
    </row>
    <row r="17" customFormat="false" ht="15" hidden="false" customHeight="false" outlineLevel="0" collapsed="false">
      <c r="B17" s="10" t="s">
        <v>39</v>
      </c>
      <c r="C17" s="15" t="n">
        <f aca="false">INDEX(C5:N9, MATCH(C15, B5:B9, 0), MATCH(C14, C4:N4, 0))</f>
        <v>0.0983569825344887</v>
      </c>
    </row>
  </sheetData>
  <mergeCells count="2">
    <mergeCell ref="B2:N2"/>
    <mergeCell ref="B12:F12"/>
  </mergeCells>
  <conditionalFormatting sqref="C5:N9">
    <cfRule type="colorScale" priority="2">
      <colorScale>
        <cfvo type="num" val="-0.3"/>
        <cfvo type="num" val="0"/>
        <cfvo type="num" val="0.3"/>
        <color rgb="FFE74C3C"/>
        <color rgb="FFFFFFFF"/>
        <color rgb="FF2ECC7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7" min="2" style="1" width="18"/>
  </cols>
  <sheetData>
    <row r="2" customFormat="false" ht="19.7" hidden="false" customHeight="false" outlineLevel="0" collapsed="false">
      <c r="B2" s="5" t="s">
        <v>40</v>
      </c>
      <c r="C2" s="5"/>
      <c r="D2" s="5"/>
      <c r="E2" s="5"/>
      <c r="F2" s="5"/>
      <c r="G2" s="5"/>
    </row>
    <row r="4" customFormat="false" ht="16.15" hidden="false" customHeight="false" outlineLevel="0" collapsed="false">
      <c r="B4" s="16" t="s">
        <v>41</v>
      </c>
    </row>
    <row r="5" customFormat="false" ht="15" hidden="false" customHeight="false" outlineLevel="0" collapsed="false">
      <c r="B5" s="10" t="s">
        <v>42</v>
      </c>
      <c r="C5" s="17" t="n">
        <v>5000000</v>
      </c>
    </row>
    <row r="6" customFormat="false" ht="15" hidden="false" customHeight="false" outlineLevel="0" collapsed="false">
      <c r="B6" s="10" t="s">
        <v>43</v>
      </c>
      <c r="C6" s="18" t="n">
        <v>-0.02</v>
      </c>
    </row>
    <row r="7" customFormat="false" ht="15" hidden="false" customHeight="false" outlineLevel="0" collapsed="false">
      <c r="B7" s="10" t="s">
        <v>44</v>
      </c>
      <c r="C7" s="18" t="n">
        <v>0.08</v>
      </c>
    </row>
    <row r="8" customFormat="false" ht="15" hidden="false" customHeight="false" outlineLevel="0" collapsed="false">
      <c r="B8" s="10" t="s">
        <v>45</v>
      </c>
      <c r="C8" s="18" t="n">
        <v>0.18</v>
      </c>
    </row>
    <row r="9" customFormat="false" ht="15" hidden="false" customHeight="false" outlineLevel="0" collapsed="false">
      <c r="B9" s="10" t="s">
        <v>46</v>
      </c>
      <c r="C9" s="19" t="n">
        <v>1000</v>
      </c>
    </row>
    <row r="10" customFormat="false" ht="15" hidden="false" customHeight="false" outlineLevel="0" collapsed="false">
      <c r="B10" s="10" t="s">
        <v>47</v>
      </c>
      <c r="C10" s="19" t="n">
        <v>3</v>
      </c>
    </row>
    <row r="13" customFormat="false" ht="16.15" hidden="false" customHeight="false" outlineLevel="0" collapsed="false">
      <c r="B13" s="13" t="s">
        <v>48</v>
      </c>
      <c r="C13" s="13"/>
      <c r="D13" s="13"/>
      <c r="E13" s="13"/>
      <c r="F13" s="13"/>
      <c r="G13" s="13"/>
    </row>
    <row r="14" customFormat="false" ht="15" hidden="false" customHeight="false" outlineLevel="0" collapsed="false">
      <c r="B14" s="6" t="s">
        <v>49</v>
      </c>
      <c r="C14" s="6" t="s">
        <v>50</v>
      </c>
    </row>
    <row r="15" customFormat="false" ht="15" hidden="false" customHeight="false" outlineLevel="0" collapsed="false">
      <c r="B15" s="10" t="s">
        <v>51</v>
      </c>
      <c r="C15" s="20" t="s">
        <v>52</v>
      </c>
    </row>
    <row r="16" customFormat="false" ht="15" hidden="false" customHeight="false" outlineLevel="0" collapsed="false">
      <c r="B16" s="10" t="s">
        <v>53</v>
      </c>
      <c r="C16" s="20" t="s">
        <v>52</v>
      </c>
    </row>
    <row r="17" customFormat="false" ht="15" hidden="false" customHeight="false" outlineLevel="0" collapsed="false">
      <c r="B17" s="10" t="s">
        <v>54</v>
      </c>
      <c r="C17" s="20" t="s">
        <v>52</v>
      </c>
    </row>
    <row r="18" customFormat="false" ht="15" hidden="false" customHeight="false" outlineLevel="0" collapsed="false">
      <c r="B18" s="10" t="s">
        <v>55</v>
      </c>
      <c r="C18" s="20" t="s">
        <v>52</v>
      </c>
    </row>
    <row r="19" customFormat="false" ht="15" hidden="false" customHeight="false" outlineLevel="0" collapsed="false">
      <c r="B19" s="10" t="s">
        <v>56</v>
      </c>
      <c r="C19" s="20" t="s">
        <v>52</v>
      </c>
    </row>
    <row r="20" customFormat="false" ht="15" hidden="false" customHeight="false" outlineLevel="0" collapsed="false">
      <c r="B20" s="10" t="s">
        <v>57</v>
      </c>
      <c r="C20" s="20" t="s">
        <v>52</v>
      </c>
    </row>
    <row r="21" customFormat="false" ht="15" hidden="false" customHeight="false" outlineLevel="0" collapsed="false">
      <c r="B21" s="10" t="s">
        <v>58</v>
      </c>
      <c r="C21" s="20" t="s">
        <v>52</v>
      </c>
    </row>
  </sheetData>
  <mergeCells count="2">
    <mergeCell ref="B2:G2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0"/>
  </cols>
  <sheetData>
    <row r="2" customFormat="false" ht="19.7" hidden="false" customHeight="false" outlineLevel="0" collapsed="false">
      <c r="B2" s="21" t="s">
        <v>59</v>
      </c>
    </row>
    <row r="3" customFormat="false" ht="15" hidden="false" customHeight="false" outlineLevel="0" collapsed="false">
      <c r="B3" s="3" t="s">
        <v>60</v>
      </c>
    </row>
    <row r="5" customFormat="false" ht="900" hidden="false" customHeight="true" outlineLevel="0" collapsed="false">
      <c r="B5" s="2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2026-04-25T02:25:09Z</dcterms:created>
  <dc:creator>openpyxl</dc:creator>
  <dc:description/>
  <dc:language>en-US</dc:language>
  <cp:lastModifiedBy/>
  <dcterms:modified xsi:type="dcterms:W3CDTF">2026-04-25T02:25:09Z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