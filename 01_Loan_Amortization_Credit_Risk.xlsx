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RateGrid" sheetId="3" state="visible" r:id="rId5"/>
    <sheet name="Schedule" sheetId="4" state="visible" r:id="rId6"/>
    <sheet name="Dashboard" sheetId="5" state="visible" r:id="rId7"/>
    <sheet name="VBA_Code" sheetId="6" state="visible" r:id="rId8"/>
  </sheets>
  <definedNames>
    <definedName function="false" hidden="false" name="Income" vbProcedure="false">Inputs!$C$9</definedName>
    <definedName function="false" hidden="false" name="IntRate" vbProcedure="false">Inputs!$C$6</definedName>
    <definedName function="false" hidden="false" name="LoanAmt" vbProcedure="false">Inputs!$C$5</definedName>
    <definedName function="false" hidden="false" name="OtherDebt" vbProcedure="false">Inputs!$C$10</definedName>
    <definedName function="false" hidden="false" name="PropVal" vbProcedure="false">Inputs!$C$11</definedName>
    <definedName function="false" hidden="false" name="Score" vbProcedure="false">Inputs!$C$8</definedName>
    <definedName function="false" hidden="false" name="TermYrs" vbProcedure="false">Inputs!$C$7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<sst xmlns="http://schemas.openxmlformats.org/spreadsheetml/2006/main" count="87" uniqueCount="85">
  <si>
    <t xml:space="preserve">LOAN AMORTIZATION &amp; CREDIT RISK DASHBOARD</t>
  </si>
  <si>
    <t xml:space="preserve">Built by Kartik Joshi | Finance · FP&amp;A · AML/KYC · FMVA® · CBCA® · FPAP™</t>
  </si>
  <si>
    <t xml:space="preserve">Overview</t>
  </si>
  <si>
    <t xml:space="preserve">This workbook demonstrates a complete loan amortization engine with credit-risk scoring. Inputs flow through PMT-based amortization, a VLOOKUP/HLOOKUP rate grid, INDEX/MATCH risk tiering, and an automated VBA macro that rebuilds the schedule on any input change. Contains data validation, conditional formatting, named ranges, and a dashboard summary card — the full stack a financial analyst uses daily.</t>
  </si>
  <si>
    <t xml:space="preserve">Techniques Demonstrated</t>
  </si>
  <si>
    <t xml:space="preserve">VLOOKUP</t>
  </si>
  <si>
    <t xml:space="preserve">Rate lookup by credit score band</t>
  </si>
  <si>
    <t xml:space="preserve">HLOOKUP</t>
  </si>
  <si>
    <t xml:space="preserve">Horizontal rate grid by loan term</t>
  </si>
  <si>
    <t xml:space="preserve">INDEX/MATCH</t>
  </si>
  <si>
    <t xml:space="preserve">Two-way risk tier lookup</t>
  </si>
  <si>
    <t xml:space="preserve">PMT / IPMT / PPMT</t>
  </si>
  <si>
    <t xml:space="preserve">Amortization schedule</t>
  </si>
  <si>
    <t xml:space="preserve">IFS / SWITCH</t>
  </si>
  <si>
    <t xml:space="preserve">Risk tier classification</t>
  </si>
  <si>
    <t xml:space="preserve">Named Ranges</t>
  </si>
  <si>
    <t xml:space="preserve">LoanAmt, Rate, Term, Score</t>
  </si>
  <si>
    <t xml:space="preserve">Data Validation</t>
  </si>
  <si>
    <t xml:space="preserve">Dropdown lists on inputs</t>
  </si>
  <si>
    <t xml:space="preserve">Conditional Formatting</t>
  </si>
  <si>
    <t xml:space="preserve">Payment &amp; balance heatmap</t>
  </si>
  <si>
    <t xml:space="preserve">VBA Macro</t>
  </si>
  <si>
    <t xml:space="preserve">Auto-rebuild schedule on change</t>
  </si>
  <si>
    <t xml:space="preserve">Tables</t>
  </si>
  <si>
    <t xml:space="preserve">Structured amortization table</t>
  </si>
  <si>
    <t xml:space="preserve">LOAN INPUTS</t>
  </si>
  <si>
    <t xml:space="preserve">Borrower Name</t>
  </si>
  <si>
    <t xml:space="preserve">Sample Borrower</t>
  </si>
  <si>
    <t xml:space="preserve">Free text</t>
  </si>
  <si>
    <t xml:space="preserve">Loan Amount ($)</t>
  </si>
  <si>
    <t xml:space="preserve">Principal amount</t>
  </si>
  <si>
    <t xml:space="preserve">Annual Interest Rate</t>
  </si>
  <si>
    <t xml:space="preserve">Enter as decimal (6.25% = 0.0625)</t>
  </si>
  <si>
    <t xml:space="preserve">Loan Term (Years)</t>
  </si>
  <si>
    <t xml:space="preserve">Dropdown: 5, 10, 15, 20, 25, 30</t>
  </si>
  <si>
    <t xml:space="preserve">Credit Score</t>
  </si>
  <si>
    <t xml:space="preserve">300–850</t>
  </si>
  <si>
    <t xml:space="preserve">Annual Income ($)</t>
  </si>
  <si>
    <t xml:space="preserve">Gross annual income</t>
  </si>
  <si>
    <t xml:space="preserve">Existing Monthly Debt ($)</t>
  </si>
  <si>
    <t xml:space="preserve">Sum of other obligations</t>
  </si>
  <si>
    <t xml:space="preserve">Property Value ($)</t>
  </si>
  <si>
    <t xml:space="preserve">For LTV calculation</t>
  </si>
  <si>
    <t xml:space="preserve">DERIVED METRICS</t>
  </si>
  <si>
    <t xml:space="preserve">Monthly Payment (PMT)</t>
  </si>
  <si>
    <t xml:space="preserve">Total Payments ($)</t>
  </si>
  <si>
    <t xml:space="preserve">Total Interest ($)</t>
  </si>
  <si>
    <t xml:space="preserve">Loan-to-Value (LTV)</t>
  </si>
  <si>
    <t xml:space="preserve">Debt-to-Income (DTI)</t>
  </si>
  <si>
    <t xml:space="preserve">Rate via VLOOKUP</t>
  </si>
  <si>
    <t xml:space="preserve">Rate via HLOOKUP</t>
  </si>
  <si>
    <t xml:space="preserve">Risk Tier (INDEX/MATCH)</t>
  </si>
  <si>
    <t xml:space="preserve">Approval Flag (dashboard)</t>
  </si>
  <si>
    <t xml:space="preserve">RATE GRID — VLOOKUP (Score → Rate)</t>
  </si>
  <si>
    <t xml:space="preserve">RATE GRID — HLOOKUP (Term → Rate)</t>
  </si>
  <si>
    <t xml:space="preserve">Min Score</t>
  </si>
  <si>
    <t xml:space="preserve">Rate</t>
  </si>
  <si>
    <t xml:space="preserve">Risk Tier</t>
  </si>
  <si>
    <t xml:space="preserve">Subprime</t>
  </si>
  <si>
    <t xml:space="preserve">Near Prime</t>
  </si>
  <si>
    <t xml:space="preserve">Standard</t>
  </si>
  <si>
    <t xml:space="preserve">Grid Notes</t>
  </si>
  <si>
    <t xml:space="preserve">Prime</t>
  </si>
  <si>
    <t xml:space="preserve">VLOOKUP uses TRUE (approximate match) to find the first score band the credit score falls into. HLOOKUP uses FALSE (exact match) to pick the rate for the specified loan term. In production this grid would be sourced from treasury / risk — here it's a realistic spread for illustration.</t>
  </si>
  <si>
    <t xml:space="preserve">Super Prime</t>
  </si>
  <si>
    <t xml:space="preserve">Elite</t>
  </si>
  <si>
    <t xml:space="preserve">AMORTIZATION SCHEDULE</t>
  </si>
  <si>
    <t xml:space="preserve">Period</t>
  </si>
  <si>
    <t xml:space="preserve">Payment</t>
  </si>
  <si>
    <t xml:space="preserve">Interest</t>
  </si>
  <si>
    <t xml:space="preserve">Principal</t>
  </si>
  <si>
    <t xml:space="preserve">Balance</t>
  </si>
  <si>
    <t xml:space="preserve">LOAN DASHBOARD</t>
  </si>
  <si>
    <t xml:space="preserve">Live KPIs from Inputs + Rate Grid + Schedule</t>
  </si>
  <si>
    <t xml:space="preserve">Monthly Payment</t>
  </si>
  <si>
    <t xml:space="preserve">Total Interest</t>
  </si>
  <si>
    <t xml:space="preserve">LTV Ratio</t>
  </si>
  <si>
    <t xml:space="preserve">DTI Ratio</t>
  </si>
  <si>
    <t xml:space="preserve">RISK ASSESSMENT</t>
  </si>
  <si>
    <t xml:space="preserve">Applied Rate (VLOOKUP)</t>
  </si>
  <si>
    <t xml:space="preserve">Approval Flag (IF/AND)</t>
  </si>
  <si>
    <t xml:space="preserve">Recommended Action</t>
  </si>
  <si>
    <t xml:space="preserve">VBA MACRO — AutoRefresh &amp; Stress Test</t>
  </si>
  <si>
    <t xml:space="preserve">The following VBA module is also provided as LoanMacros.bas. To enable: open this file as .xlsm, press Alt+F11, right-click the project, Import File → select LoanMacros.bas. Run macros via Alt+F8.</t>
  </si>
  <si>
    <t xml:space="preserve">Option Explicit
' ============================================================
' LoanMacros.bas  —  Kartik Joshi
' Portfolio demo: auto-refresh, stress test, and rate shock
' ============================================================
' Automatically recalculate and log when any input changes
Public Sub AutoRefreshSchedule()
    Application.ScreenUpdating = False
    Application.Calculation = xlCalculationAutomatic
    ThisWorkbook.Worksheets("Schedule").Calculate
    ThisWorkbook.Worksheets("Dashboard").Calculate
    MsgBox "Amortization schedule and dashboard refreshed.", vbInformation, "Loan Model"
    Application.ScreenUpdating = True
End Sub
' Run a +/- 200 bps rate stress test and write results
Public Sub RunRateStressTest()
    Dim ws As Worksheet, stressWs As Worksheet
    Dim baseRate As Double, i As Integer
    Dim shocks As Variant
    shocks = Array(-0.02, -0.01, -0.005, 0, 0.005, 0.01, 0.02)
    Set ws = ThisWorkbook.Worksheets("Inputs")
    baseRate = ws.Range("IntRate").Value
    On Error Resume Next
    Application.DisplayAlerts = False
    ThisWorkbook.Worksheets("StressTest").Delete
    Application.DisplayAlerts = True
    On Error GoTo 0
    Set stressWs = ThisWorkbook.Worksheets.Add(After:= _
        ThisWorkbook.Worksheets(ThisWorkbook.Worksheets.Count))
    stressWs.Name = "StressTest"
    stressWs.Range("B2").Value = "RATE STRESS TEST"
    stressWs.Range("B2").Font.Bold = True
    stressWs.Range("B2").Font.Size = 14
    stressWs.Range("B4:E4").Value = Array("Shock (bps)", "New Rate", "Monthly Pmt", "Δ vs Base")
    For i = LBound(shocks) To UBound(shocks)
        Dim r As Integer
        r = 5 + i
        ws.Range("IntRate").Value = baseRate + shocks(i)
        Application.Calculate
        stressWs.Cells(r, 2).Value = shocks(i) * 10000
        stressWs.Cells(r, 3).Value = ws.Range("IntRate").Value
        stressWs.Cells(r, 3).NumberFormat = "0.00%"
        stressWs.Cells(r, 4).Value = ws.Range("C15").Value
        stressWs.Cells(r, 4).NumberFormat = "$#,##0.00"
        stressWs.Cells(r, 5).Value = ws.Range("C15").Value - _
            Evaluate("PMT(" &amp; baseRate &amp; "/12," &amp; ws.Range("TermYrs").Value &amp; _
                     "*12,-" &amp; ws.Range("LoanAmt").Value &amp; ")")
        stressWs.Cells(r, 5).NumberFormat = "$#,##0.00;($#,##0.00)"
    Next i
    ' Restore base
    ws.Range("IntRate").Value = baseRate
    Application.Calculate
    MsgBox "Stress test complete. See the StressTest sheet.", vbInformation
End Sub
' Event handler — rebuild schedule when any input changes
' Install by pasting into the Inputs sheet module (right-click tab → View Code)
Private Sub Worksheet_Change(ByVal Target As Range)
    Dim watched As Range
    Set watched = Me.Range("C5:C11")
    If Not Intersect(Target, watched) Is Nothing Then
        Application.EnableEvents = False
        Call AutoRefreshSchedule
        Application.EnableEvents = True
    End If
End Sub
</t>
  </si>
</sst>
</file>

<file path=xl/styles.xml><?xml version="1.0" encoding="utf-8"?>
<styleSheet xmlns="http://schemas.openxmlformats.org/spreadsheetml/2006/main">
  <numFmts count="8">
    <numFmt numFmtId="164" formatCode="General"/>
    <numFmt numFmtId="165" formatCode="\$#,##0"/>
    <numFmt numFmtId="166" formatCode="0.00%"/>
    <numFmt numFmtId="167" formatCode="\$#,##0.00"/>
    <numFmt numFmtId="168" formatCode="0.0%"/>
    <numFmt numFmtId="169" formatCode="\$#,##0.00;&quot;($&quot;#,##0.00\);\-"/>
    <numFmt numFmtId="170" formatCode="0"/>
    <numFmt numFmtId="171" formatCode="@"/>
  </numFmts>
  <fonts count="20">
    <font>
      <sz val="11"/>
      <color theme="1"/>
      <name val="Calibri"/>
      <family val="2"/>
      <charset val="1"/>
    </font>
    <font>
      <sz val="10"/>
      <name val="Arial"/>
      <family val="0"/>
    </font>
    <font>
      <sz val="10"/>
      <name val="Arial"/>
      <family val="0"/>
    </font>
    <font>
      <sz val="10"/>
      <name val="Arial"/>
      <family val="0"/>
    </font>
    <font>
      <b val="true"/>
      <sz val="22"/>
      <color rgb="FF1B2A49"/>
      <name val="Calibri"/>
      <family val="0"/>
      <charset val="1"/>
    </font>
    <font>
      <i val="true"/>
      <sz val="11"/>
      <color rgb="FF2E86C1"/>
      <name val="Calibri"/>
      <family val="0"/>
      <charset val="1"/>
    </font>
    <font>
      <b val="true"/>
      <sz val="14"/>
      <color rgb="FF1B2A49"/>
      <name val="Calibri"/>
      <family val="0"/>
      <charset val="1"/>
    </font>
    <font>
      <sz val="11"/>
      <color rgb="FF2C3E50"/>
      <name val="Calibri"/>
      <family val="0"/>
      <charset val="1"/>
    </font>
    <font>
      <b val="true"/>
      <sz val="11"/>
      <color rgb="FF1B2A49"/>
      <name val="Calibri"/>
      <family val="0"/>
      <charset val="1"/>
    </font>
    <font>
      <sz val="11"/>
      <name val="Calibri"/>
      <family val="0"/>
      <charset val="1"/>
    </font>
    <font>
      <b val="true"/>
      <sz val="18"/>
      <color rgb="FF1B2A49"/>
      <name val="Calibri"/>
      <family val="0"/>
      <charset val="1"/>
    </font>
    <font>
      <b val="true"/>
      <sz val="11"/>
      <color rgb="FF0000FF"/>
      <name val="Calibri"/>
      <family val="0"/>
      <charset val="1"/>
    </font>
    <font>
      <i val="true"/>
      <sz val="10"/>
      <color rgb="FF7F8C8D"/>
      <name val="Calibri"/>
      <family val="0"/>
      <charset val="1"/>
    </font>
    <font>
      <b val="true"/>
      <sz val="11"/>
      <color rgb="FF000000"/>
      <name val="Calibri"/>
      <family val="0"/>
      <charset val="1"/>
    </font>
    <font>
      <b val="true"/>
      <sz val="11"/>
      <color rgb="FFFFFFFF"/>
      <name val="Calibri"/>
      <family val="0"/>
      <charset val="1"/>
    </font>
    <font>
      <sz val="11"/>
      <color rgb="FF000000"/>
      <name val="Calibri"/>
      <family val="0"/>
      <charset val="1"/>
    </font>
    <font>
      <i val="true"/>
      <sz val="10"/>
      <color rgb="FF2C3E50"/>
      <name val="Calibri"/>
      <family val="0"/>
      <charset val="1"/>
    </font>
    <font>
      <b val="true"/>
      <sz val="16"/>
      <color rgb="FF1B2A49"/>
      <name val="Calibri"/>
      <family val="0"/>
      <charset val="1"/>
    </font>
    <font>
      <b val="true"/>
      <sz val="11"/>
      <name val="Calibri"/>
      <family val="0"/>
      <charset val="1"/>
    </font>
    <font>
      <sz val="10"/>
      <color rgb="FF1B2A49"/>
      <name val="Consolas"/>
      <family val="0"/>
      <charset val="1"/>
    </font>
  </fonts>
  <fills count="12">
    <fill>
      <patternFill patternType="none"/>
    </fill>
    <fill>
      <patternFill patternType="gray125"/>
    </fill>
    <fill>
      <patternFill patternType="solid">
        <fgColor rgb="FFEAF2F8"/>
        <bgColor rgb="FFF4F6F7"/>
      </patternFill>
    </fill>
    <fill>
      <patternFill patternType="solid">
        <fgColor rgb="FFFCF3CF"/>
        <bgColor rgb="FFF4F6F7"/>
      </patternFill>
    </fill>
    <fill>
      <patternFill patternType="solid">
        <fgColor rgb="FFF4F6F7"/>
        <bgColor rgb="FFEAF2F8"/>
      </patternFill>
    </fill>
    <fill>
      <patternFill patternType="solid">
        <fgColor rgb="FFD5F5E3"/>
        <bgColor rgb="FFEAF2F8"/>
      </patternFill>
    </fill>
    <fill>
      <patternFill patternType="solid">
        <fgColor rgb="FF1B2A49"/>
        <bgColor rgb="FF2C3E50"/>
      </patternFill>
    </fill>
    <fill>
      <patternFill patternType="solid">
        <fgColor rgb="FFFFFFFF"/>
        <bgColor rgb="FFF4F6F7"/>
      </patternFill>
    </fill>
    <fill>
      <patternFill patternType="solid">
        <fgColor rgb="FF2E86C1"/>
        <bgColor rgb="FF008080"/>
      </patternFill>
    </fill>
    <fill>
      <patternFill patternType="solid">
        <fgColor rgb="FFC0392B"/>
        <bgColor rgb="FF993366"/>
      </patternFill>
    </fill>
    <fill>
      <patternFill patternType="solid">
        <fgColor rgb="FF8E44AD"/>
        <bgColor rgb="FF993366"/>
      </patternFill>
    </fill>
    <fill>
      <patternFill patternType="solid">
        <fgColor rgb="FFD68910"/>
        <bgColor rgb="FFFF6600"/>
      </patternFill>
    </fill>
  </fills>
  <borders count="3">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 diagonalUp="false" diagonalDown="false">
      <left style="thin">
        <color rgb="FFBDC3C7"/>
      </left>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8" fillId="2" borderId="1" xfId="0" applyFont="true" applyBorder="true" applyAlignment="true" applyProtection="true">
      <alignment horizontal="general" vertical="bottom" textRotation="0" wrapText="false" indent="0" shrinkToFit="false"/>
      <protection locked="true" hidden="false"/>
    </xf>
    <xf numFmtId="164" fontId="9" fillId="0" borderId="2" xfId="0" applyFont="true" applyBorder="true" applyAlignment="true" applyProtection="true">
      <alignment horizontal="left" vertical="center"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left" vertical="center" textRotation="0" wrapText="false" indent="0" shrinkToFit="false"/>
      <protection locked="true" hidden="false"/>
    </xf>
    <xf numFmtId="164" fontId="11" fillId="3" borderId="1" xfId="0" applyFont="true" applyBorder="true" applyAlignment="true" applyProtection="true">
      <alignment horizontal="right" vertical="center"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5" fontId="11" fillId="3" borderId="1" xfId="0" applyFont="true" applyBorder="true" applyAlignment="true" applyProtection="true">
      <alignment horizontal="right" vertical="center" textRotation="0" wrapText="false" indent="0" shrinkToFit="false"/>
      <protection locked="true" hidden="false"/>
    </xf>
    <xf numFmtId="166" fontId="11" fillId="3" borderId="1" xfId="0" applyFont="true" applyBorder="true" applyAlignment="true" applyProtection="true">
      <alignment horizontal="right" vertical="center"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left" vertical="center" textRotation="0" wrapText="false" indent="0" shrinkToFit="false"/>
      <protection locked="true" hidden="false"/>
    </xf>
    <xf numFmtId="167" fontId="13" fillId="4" borderId="1" xfId="0" applyFont="true" applyBorder="true" applyAlignment="true" applyProtection="true">
      <alignment horizontal="right" vertical="center" textRotation="0" wrapText="false" indent="0" shrinkToFit="false"/>
      <protection locked="true" hidden="false"/>
    </xf>
    <xf numFmtId="165" fontId="13" fillId="4" borderId="1" xfId="0" applyFont="true" applyBorder="true" applyAlignment="true" applyProtection="true">
      <alignment horizontal="right" vertical="center" textRotation="0" wrapText="false" indent="0" shrinkToFit="false"/>
      <protection locked="true" hidden="false"/>
    </xf>
    <xf numFmtId="168" fontId="13" fillId="4" borderId="1" xfId="0" applyFont="true" applyBorder="true" applyAlignment="true" applyProtection="true">
      <alignment horizontal="right" vertical="center" textRotation="0" wrapText="false" indent="0" shrinkToFit="false"/>
      <protection locked="true" hidden="false"/>
    </xf>
    <xf numFmtId="166" fontId="13" fillId="4" borderId="1" xfId="0" applyFont="true" applyBorder="true" applyAlignment="true" applyProtection="true">
      <alignment horizontal="right" vertical="center" textRotation="0" wrapText="false" indent="0" shrinkToFit="false"/>
      <protection locked="true" hidden="false"/>
    </xf>
    <xf numFmtId="164" fontId="13" fillId="4" borderId="1" xfId="0" applyFont="true" applyBorder="true" applyAlignment="true" applyProtection="true">
      <alignment horizontal="right" vertical="center" textRotation="0" wrapText="false" indent="0" shrinkToFit="false"/>
      <protection locked="true" hidden="false"/>
    </xf>
    <xf numFmtId="164" fontId="13" fillId="5" borderId="1" xfId="0" applyFont="true" applyBorder="true" applyAlignment="true" applyProtection="true">
      <alignment horizontal="right" vertical="center" textRotation="0" wrapText="false" indent="0" shrinkToFit="false"/>
      <protection locked="true" hidden="false"/>
    </xf>
    <xf numFmtId="164" fontId="14" fillId="6" borderId="1" xfId="0" applyFont="true" applyBorder="true" applyAlignment="true" applyProtection="true">
      <alignment horizontal="center" vertical="center" textRotation="0" wrapText="false" indent="0" shrinkToFit="false"/>
      <protection locked="true" hidden="false"/>
    </xf>
    <xf numFmtId="164" fontId="13" fillId="2" borderId="1" xfId="0" applyFont="true" applyBorder="true" applyAlignment="true" applyProtection="true">
      <alignment horizontal="right" vertical="center" textRotation="0" wrapText="false" indent="0" shrinkToFit="false"/>
      <protection locked="true" hidden="false"/>
    </xf>
    <xf numFmtId="166" fontId="15" fillId="7" borderId="1" xfId="0" applyFont="true" applyBorder="true" applyAlignment="true" applyProtection="true">
      <alignment horizontal="right" vertical="center" textRotation="0" wrapText="false" indent="0" shrinkToFit="false"/>
      <protection locked="true" hidden="false"/>
    </xf>
    <xf numFmtId="164" fontId="9" fillId="0" borderId="1" xfId="0" applyFont="true" applyBorder="true" applyAlignment="true" applyProtection="true">
      <alignment horizontal="center" vertical="center" textRotation="0" wrapText="false" indent="0" shrinkToFit="false"/>
      <protection locked="true" hidden="false"/>
    </xf>
    <xf numFmtId="166" fontId="13" fillId="2" borderId="1" xfId="0" applyFont="true" applyBorder="true" applyAlignment="true" applyProtection="true">
      <alignment horizontal="right"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true" applyAlignment="true" applyProtection="true">
      <alignment horizontal="general" vertical="top" textRotation="0" wrapText="true" indent="0" shrinkToFit="false"/>
      <protection locked="true" hidden="false"/>
    </xf>
    <xf numFmtId="164" fontId="17" fillId="0" borderId="0" xfId="0" applyFont="true" applyBorder="true" applyAlignment="true" applyProtection="true">
      <alignment horizontal="general" vertical="bottom" textRotation="0" wrapText="false" indent="0" shrinkToFit="false"/>
      <protection locked="true" hidden="false"/>
    </xf>
    <xf numFmtId="164" fontId="15" fillId="4" borderId="1" xfId="0" applyFont="true" applyBorder="true" applyAlignment="true" applyProtection="true">
      <alignment horizontal="right" vertical="center" textRotation="0" wrapText="false" indent="0" shrinkToFit="false"/>
      <protection locked="true" hidden="false"/>
    </xf>
    <xf numFmtId="169" fontId="15" fillId="0" borderId="1" xfId="0" applyFont="true" applyBorder="true" applyAlignment="true" applyProtection="true">
      <alignment horizontal="right" vertical="center"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14" fillId="8" borderId="0" xfId="0" applyFont="true" applyBorder="true" applyAlignment="true" applyProtection="true">
      <alignment horizontal="center" vertical="center" textRotation="0" wrapText="false" indent="0" shrinkToFit="false"/>
      <protection locked="true" hidden="false"/>
    </xf>
    <xf numFmtId="164" fontId="14" fillId="9" borderId="0" xfId="0" applyFont="true" applyBorder="true" applyAlignment="true" applyProtection="true">
      <alignment horizontal="center" vertical="center" textRotation="0" wrapText="false" indent="0" shrinkToFit="false"/>
      <protection locked="true" hidden="false"/>
    </xf>
    <xf numFmtId="164" fontId="14" fillId="10" borderId="0" xfId="0" applyFont="true" applyBorder="true" applyAlignment="true" applyProtection="true">
      <alignment horizontal="center" vertical="center" textRotation="0" wrapText="false" indent="0" shrinkToFit="false"/>
      <protection locked="true" hidden="false"/>
    </xf>
    <xf numFmtId="164" fontId="14" fillId="11" borderId="0" xfId="0" applyFont="true" applyBorder="true" applyAlignment="true" applyProtection="true">
      <alignment horizontal="center" vertical="center" textRotation="0" wrapText="false" indent="0" shrinkToFit="false"/>
      <protection locked="true" hidden="false"/>
    </xf>
    <xf numFmtId="167" fontId="10" fillId="2" borderId="0" xfId="0" applyFont="true" applyBorder="true" applyAlignment="true" applyProtection="true">
      <alignment horizontal="center" vertical="center" textRotation="0" wrapText="false" indent="0" shrinkToFit="false"/>
      <protection locked="true" hidden="false"/>
    </xf>
    <xf numFmtId="165" fontId="10" fillId="2" borderId="0" xfId="0" applyFont="true" applyBorder="true" applyAlignment="true" applyProtection="true">
      <alignment horizontal="center" vertical="center" textRotation="0" wrapText="false" indent="0" shrinkToFit="false"/>
      <protection locked="true" hidden="false"/>
    </xf>
    <xf numFmtId="168" fontId="10" fillId="2" borderId="0" xfId="0" applyFont="true" applyBorder="true" applyAlignment="true" applyProtection="true">
      <alignment horizontal="center" vertical="center" textRotation="0" wrapText="false" indent="0" shrinkToFit="false"/>
      <protection locked="true" hidden="false"/>
    </xf>
    <xf numFmtId="170" fontId="18" fillId="0" borderId="2" xfId="0" applyFont="true" applyBorder="true" applyAlignment="true" applyProtection="true">
      <alignment horizontal="left" vertical="center" textRotation="0" wrapText="false" indent="0" shrinkToFit="false"/>
      <protection locked="true" hidden="false"/>
    </xf>
    <xf numFmtId="171" fontId="18" fillId="0" borderId="2" xfId="0" applyFont="true" applyBorder="true" applyAlignment="true" applyProtection="true">
      <alignment horizontal="left" vertical="center" textRotation="0" wrapText="false" indent="0" shrinkToFit="false"/>
      <protection locked="true" hidden="false"/>
    </xf>
    <xf numFmtId="166" fontId="18" fillId="0" borderId="2" xfId="0" applyFont="true" applyBorder="true" applyAlignment="true" applyProtection="true">
      <alignment horizontal="left" vertical="center"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19"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7F8C8D"/>
      <rgbColor rgb="FF9999FF"/>
      <rgbColor rgb="FF8E44AD"/>
      <rgbColor rgb="FFFCF3CF"/>
      <rgbColor rgb="FFEAF2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6F7"/>
      <rgbColor rgb="FFD5F5E3"/>
      <rgbColor rgb="FFFFFF99"/>
      <rgbColor rgb="FF99CCFF"/>
      <rgbColor rgb="FFFF99CC"/>
      <rgbColor rgb="FFCC99FF"/>
      <rgbColor rgb="FFFFCC99"/>
      <rgbColor rgb="FF2E86C1"/>
      <rgbColor rgb="FF33CCCC"/>
      <rgbColor rgb="FF99CC00"/>
      <rgbColor rgb="FFFFCC00"/>
      <rgbColor rgb="FFD68910"/>
      <rgbColor rgb="FFFF6600"/>
      <rgbColor rgb="FF666699"/>
      <rgbColor rgb="FF969696"/>
      <rgbColor rgb="FF1B2A49"/>
      <rgbColor rgb="FF339966"/>
      <rgbColor rgb="FF003300"/>
      <rgbColor rgb="FF333300"/>
      <rgbColor rgb="FFC0392B"/>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8" min="2" style="1" width="16"/>
  </cols>
  <sheetData>
    <row r="2" customFormat="false" ht="26.8" hidden="false" customHeight="false" outlineLevel="0" collapsed="false">
      <c r="B2" s="2" t="s">
        <v>0</v>
      </c>
    </row>
    <row r="3" customFormat="false" ht="15" hidden="false" customHeight="false" outlineLevel="0" collapsed="false">
      <c r="B3" s="3" t="s">
        <v>1</v>
      </c>
    </row>
    <row r="5" customFormat="false" ht="17.35" hidden="false" customHeight="false" outlineLevel="0" collapsed="false">
      <c r="B5" s="4" t="s">
        <v>2</v>
      </c>
    </row>
    <row r="6" customFormat="false" ht="15" hidden="false" customHeight="true" outlineLevel="0" collapsed="false">
      <c r="B6" s="5" t="s">
        <v>3</v>
      </c>
      <c r="C6" s="5"/>
      <c r="D6" s="5"/>
      <c r="E6" s="5"/>
      <c r="F6" s="5"/>
      <c r="G6" s="5"/>
      <c r="H6" s="5"/>
    </row>
    <row r="7" customFormat="false" ht="15" hidden="false" customHeight="false" outlineLevel="0" collapsed="false">
      <c r="B7" s="5"/>
      <c r="C7" s="5"/>
      <c r="D7" s="5"/>
      <c r="E7" s="5"/>
      <c r="F7" s="5"/>
      <c r="G7" s="5"/>
      <c r="H7" s="5"/>
    </row>
    <row r="8" customFormat="false" ht="15" hidden="false" customHeight="false" outlineLevel="0" collapsed="false">
      <c r="B8" s="5"/>
      <c r="C8" s="5"/>
      <c r="D8" s="5"/>
      <c r="E8" s="5"/>
      <c r="F8" s="5"/>
      <c r="G8" s="5"/>
      <c r="H8" s="5"/>
    </row>
    <row r="9" customFormat="false" ht="15" hidden="false" customHeight="false" outlineLevel="0" collapsed="false">
      <c r="B9" s="5"/>
      <c r="C9" s="5"/>
      <c r="D9" s="5"/>
      <c r="E9" s="5"/>
      <c r="F9" s="5"/>
      <c r="G9" s="5"/>
      <c r="H9" s="5"/>
    </row>
    <row r="10" customFormat="false" ht="15" hidden="false" customHeight="false" outlineLevel="0" collapsed="false">
      <c r="B10" s="5"/>
      <c r="C10" s="5"/>
      <c r="D10" s="5"/>
      <c r="E10" s="5"/>
      <c r="F10" s="5"/>
      <c r="G10" s="5"/>
      <c r="H10" s="5"/>
    </row>
    <row r="12" customFormat="false" ht="17.35" hidden="false" customHeight="false" outlineLevel="0" collapsed="false">
      <c r="B12" s="4" t="s">
        <v>4</v>
      </c>
    </row>
    <row r="13" customFormat="false" ht="15" hidden="false" customHeight="false" outlineLevel="0" collapsed="false">
      <c r="B13" s="6" t="s">
        <v>5</v>
      </c>
      <c r="C13" s="7" t="s">
        <v>6</v>
      </c>
      <c r="D13" s="7"/>
      <c r="E13" s="7"/>
      <c r="F13" s="7"/>
      <c r="G13" s="7"/>
      <c r="H13" s="7"/>
    </row>
    <row r="14" customFormat="false" ht="15" hidden="false" customHeight="false" outlineLevel="0" collapsed="false">
      <c r="B14" s="6" t="s">
        <v>7</v>
      </c>
      <c r="C14" s="7" t="s">
        <v>8</v>
      </c>
      <c r="D14" s="7"/>
      <c r="E14" s="7"/>
      <c r="F14" s="7"/>
      <c r="G14" s="7"/>
      <c r="H14" s="7"/>
    </row>
    <row r="15" customFormat="false" ht="15" hidden="false" customHeight="false" outlineLevel="0" collapsed="false">
      <c r="B15" s="6" t="s">
        <v>9</v>
      </c>
      <c r="C15" s="7" t="s">
        <v>10</v>
      </c>
      <c r="D15" s="7"/>
      <c r="E15" s="7"/>
      <c r="F15" s="7"/>
      <c r="G15" s="7"/>
      <c r="H15" s="7"/>
    </row>
    <row r="16" customFormat="false" ht="15" hidden="false" customHeight="false" outlineLevel="0" collapsed="false">
      <c r="B16" s="6" t="s">
        <v>11</v>
      </c>
      <c r="C16" s="7" t="s">
        <v>12</v>
      </c>
      <c r="D16" s="7"/>
      <c r="E16" s="7"/>
      <c r="F16" s="7"/>
      <c r="G16" s="7"/>
      <c r="H16" s="7"/>
    </row>
    <row r="17" customFormat="false" ht="15" hidden="false" customHeight="false" outlineLevel="0" collapsed="false">
      <c r="B17" s="6" t="s">
        <v>13</v>
      </c>
      <c r="C17" s="7" t="s">
        <v>14</v>
      </c>
      <c r="D17" s="7"/>
      <c r="E17" s="7"/>
      <c r="F17" s="7"/>
      <c r="G17" s="7"/>
      <c r="H17" s="7"/>
    </row>
    <row r="18" customFormat="false" ht="15" hidden="false" customHeight="false" outlineLevel="0" collapsed="false">
      <c r="B18" s="6" t="s">
        <v>15</v>
      </c>
      <c r="C18" s="7" t="s">
        <v>16</v>
      </c>
      <c r="D18" s="7"/>
      <c r="E18" s="7"/>
      <c r="F18" s="7"/>
      <c r="G18" s="7"/>
      <c r="H18" s="7"/>
    </row>
    <row r="19" customFormat="false" ht="15" hidden="false" customHeight="false" outlineLevel="0" collapsed="false">
      <c r="B19" s="6" t="s">
        <v>17</v>
      </c>
      <c r="C19" s="7" t="s">
        <v>18</v>
      </c>
      <c r="D19" s="7"/>
      <c r="E19" s="7"/>
      <c r="F19" s="7"/>
      <c r="G19" s="7"/>
      <c r="H19" s="7"/>
    </row>
    <row r="20" customFormat="false" ht="15" hidden="false" customHeight="false" outlineLevel="0" collapsed="false">
      <c r="B20" s="6" t="s">
        <v>19</v>
      </c>
      <c r="C20" s="7" t="s">
        <v>20</v>
      </c>
      <c r="D20" s="7"/>
      <c r="E20" s="7"/>
      <c r="F20" s="7"/>
      <c r="G20" s="7"/>
      <c r="H20" s="7"/>
    </row>
    <row r="21" customFormat="false" ht="15" hidden="false" customHeight="false" outlineLevel="0" collapsed="false">
      <c r="B21" s="6" t="s">
        <v>21</v>
      </c>
      <c r="C21" s="7" t="s">
        <v>22</v>
      </c>
      <c r="D21" s="7"/>
      <c r="E21" s="7"/>
      <c r="F21" s="7"/>
      <c r="G21" s="7"/>
      <c r="H21" s="7"/>
    </row>
    <row r="22" customFormat="false" ht="15" hidden="false" customHeight="false" outlineLevel="0" collapsed="false">
      <c r="B22" s="6" t="s">
        <v>23</v>
      </c>
      <c r="C22" s="7" t="s">
        <v>24</v>
      </c>
      <c r="D22" s="7"/>
      <c r="E22" s="7"/>
      <c r="F22" s="7"/>
      <c r="G22" s="7"/>
      <c r="H22" s="7"/>
    </row>
  </sheetData>
  <mergeCells count="11">
    <mergeCell ref="B6:H10"/>
    <mergeCell ref="C13:H13"/>
    <mergeCell ref="C14:H14"/>
    <mergeCell ref="C15:H15"/>
    <mergeCell ref="C16:H16"/>
    <mergeCell ref="C17:H17"/>
    <mergeCell ref="C18:H18"/>
    <mergeCell ref="C19:H19"/>
    <mergeCell ref="C20:H20"/>
    <mergeCell ref="C21:H21"/>
    <mergeCell ref="C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3" min="3" style="1" width="20"/>
    <col collapsed="false" customWidth="true" hidden="false" outlineLevel="0" max="4" min="4" style="1" width="40"/>
  </cols>
  <sheetData>
    <row r="2" customFormat="false" ht="22.05" hidden="false" customHeight="false" outlineLevel="0" collapsed="false">
      <c r="B2" s="8" t="s">
        <v>25</v>
      </c>
      <c r="C2" s="8"/>
      <c r="D2" s="8"/>
    </row>
    <row r="4" customFormat="false" ht="15" hidden="false" customHeight="false" outlineLevel="0" collapsed="false">
      <c r="B4" s="9" t="s">
        <v>26</v>
      </c>
      <c r="C4" s="10" t="s">
        <v>27</v>
      </c>
      <c r="D4" s="11" t="s">
        <v>28</v>
      </c>
    </row>
    <row r="5" customFormat="false" ht="15" hidden="false" customHeight="false" outlineLevel="0" collapsed="false">
      <c r="B5" s="9" t="s">
        <v>29</v>
      </c>
      <c r="C5" s="12" t="n">
        <v>350000</v>
      </c>
      <c r="D5" s="11" t="s">
        <v>30</v>
      </c>
    </row>
    <row r="6" customFormat="false" ht="15" hidden="false" customHeight="false" outlineLevel="0" collapsed="false">
      <c r="B6" s="9" t="s">
        <v>31</v>
      </c>
      <c r="C6" s="13" t="n">
        <v>0.0625</v>
      </c>
      <c r="D6" s="11" t="s">
        <v>32</v>
      </c>
    </row>
    <row r="7" customFormat="false" ht="15" hidden="false" customHeight="false" outlineLevel="0" collapsed="false">
      <c r="B7" s="9" t="s">
        <v>33</v>
      </c>
      <c r="C7" s="10" t="n">
        <v>25</v>
      </c>
      <c r="D7" s="11" t="s">
        <v>34</v>
      </c>
    </row>
    <row r="8" customFormat="false" ht="15" hidden="false" customHeight="false" outlineLevel="0" collapsed="false">
      <c r="B8" s="9" t="s">
        <v>35</v>
      </c>
      <c r="C8" s="10" t="n">
        <v>720</v>
      </c>
      <c r="D8" s="11" t="s">
        <v>36</v>
      </c>
    </row>
    <row r="9" customFormat="false" ht="15" hidden="false" customHeight="false" outlineLevel="0" collapsed="false">
      <c r="B9" s="9" t="s">
        <v>37</v>
      </c>
      <c r="C9" s="12" t="n">
        <v>95000</v>
      </c>
      <c r="D9" s="11" t="s">
        <v>38</v>
      </c>
    </row>
    <row r="10" customFormat="false" ht="15" hidden="false" customHeight="false" outlineLevel="0" collapsed="false">
      <c r="B10" s="9" t="s">
        <v>39</v>
      </c>
      <c r="C10" s="12" t="n">
        <v>850</v>
      </c>
      <c r="D10" s="11" t="s">
        <v>40</v>
      </c>
    </row>
    <row r="11" customFormat="false" ht="15" hidden="false" customHeight="false" outlineLevel="0" collapsed="false">
      <c r="B11" s="9" t="s">
        <v>41</v>
      </c>
      <c r="C11" s="12" t="n">
        <v>425000</v>
      </c>
      <c r="D11" s="11" t="s">
        <v>42</v>
      </c>
    </row>
    <row r="14" customFormat="false" ht="17.35" hidden="false" customHeight="false" outlineLevel="0" collapsed="false">
      <c r="B14" s="14" t="s">
        <v>43</v>
      </c>
      <c r="C14" s="14"/>
      <c r="D14" s="14"/>
    </row>
    <row r="15" customFormat="false" ht="15" hidden="false" customHeight="false" outlineLevel="0" collapsed="false">
      <c r="B15" s="15" t="s">
        <v>44</v>
      </c>
      <c r="C15" s="16" t="n">
        <f aca="false">PMT(IntRate/12, TermYrs*12, -LoanAmt)</f>
        <v>2308.84282410265</v>
      </c>
    </row>
    <row r="16" customFormat="false" ht="15" hidden="false" customHeight="false" outlineLevel="0" collapsed="false">
      <c r="B16" s="15" t="s">
        <v>45</v>
      </c>
      <c r="C16" s="17" t="n">
        <f aca="false">C15*TermYrs*12</f>
        <v>692652.847230795</v>
      </c>
    </row>
    <row r="17" customFormat="false" ht="15" hidden="false" customHeight="false" outlineLevel="0" collapsed="false">
      <c r="B17" s="15" t="s">
        <v>46</v>
      </c>
      <c r="C17" s="17" t="n">
        <f aca="false">C16-LoanAmt</f>
        <v>342652.847230795</v>
      </c>
    </row>
    <row r="18" customFormat="false" ht="15" hidden="false" customHeight="false" outlineLevel="0" collapsed="false">
      <c r="B18" s="15" t="s">
        <v>47</v>
      </c>
      <c r="C18" s="18" t="n">
        <f aca="false">LoanAmt/PropVal</f>
        <v>0.823529411764706</v>
      </c>
    </row>
    <row r="19" customFormat="false" ht="15" hidden="false" customHeight="false" outlineLevel="0" collapsed="false">
      <c r="B19" s="15" t="s">
        <v>48</v>
      </c>
      <c r="C19" s="18" t="n">
        <f aca="false">(C15+OtherDebt)*12/Income</f>
        <v>0.399011725149809</v>
      </c>
    </row>
    <row r="20" customFormat="false" ht="15" hidden="false" customHeight="false" outlineLevel="0" collapsed="false">
      <c r="B20" s="15" t="s">
        <v>49</v>
      </c>
      <c r="C20" s="19" t="n">
        <f aca="false">VLOOKUP(Score, RateGrid!$B$4:$C$9, 2, TRUE())</f>
        <v>0.0625</v>
      </c>
    </row>
    <row r="21" customFormat="false" ht="15" hidden="false" customHeight="false" outlineLevel="0" collapsed="false">
      <c r="B21" s="15" t="s">
        <v>50</v>
      </c>
      <c r="C21" s="19" t="n">
        <f aca="false">HLOOKUP(TermYrs, RateGrid!$F$3:$K$4, 2, FALSE())</f>
        <v>0.0625</v>
      </c>
    </row>
    <row r="22" customFormat="false" ht="15" hidden="false" customHeight="false" outlineLevel="0" collapsed="false">
      <c r="B22" s="15" t="s">
        <v>51</v>
      </c>
      <c r="C22" s="20" t="str">
        <f aca="false">INDEX(RateGrid!$B$4:$D$9, MATCH(Score, RateGrid!$B$4:$B$9, 1), 3)</f>
        <v>Super Prime</v>
      </c>
    </row>
    <row r="23" customFormat="false" ht="15" hidden="false" customHeight="false" outlineLevel="0" collapsed="false">
      <c r="B23" s="15" t="s">
        <v>52</v>
      </c>
      <c r="C23" s="21" t="str">
        <f aca="false">IF(AND(Score&gt;=680,C19&lt;=0.4,C18&lt;=0.8),"APPROVE",IF(AND(Score&gt;=640,C19&lt;=0.45),"REVIEW","DECLINE"))</f>
        <v>REVIEW</v>
      </c>
    </row>
  </sheetData>
  <mergeCells count="2">
    <mergeCell ref="B2:D2"/>
    <mergeCell ref="B14:D14"/>
  </mergeCells>
  <dataValidations count="1">
    <dataValidation allowBlank="false" errorStyle="stop" operator="between" showDropDown="false" showErrorMessage="false" showInputMessage="false" sqref="C7" type="list">
      <formula1>"5,10,15,20,25,30"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1" width="14"/>
  </cols>
  <sheetData>
    <row r="2" customFormat="false" ht="17.35" hidden="false" customHeight="false" outlineLevel="0" collapsed="false">
      <c r="B2" s="14" t="s">
        <v>53</v>
      </c>
      <c r="C2" s="14"/>
      <c r="D2" s="14"/>
      <c r="F2" s="14" t="s">
        <v>54</v>
      </c>
      <c r="G2" s="14"/>
      <c r="H2" s="14"/>
      <c r="I2" s="14"/>
      <c r="J2" s="14"/>
      <c r="K2" s="14"/>
    </row>
    <row r="3" customFormat="false" ht="15" hidden="false" customHeight="false" outlineLevel="0" collapsed="false">
      <c r="B3" s="22" t="s">
        <v>55</v>
      </c>
      <c r="C3" s="22" t="s">
        <v>56</v>
      </c>
      <c r="D3" s="22" t="s">
        <v>57</v>
      </c>
      <c r="F3" s="22" t="n">
        <v>5</v>
      </c>
      <c r="G3" s="22" t="n">
        <v>10</v>
      </c>
      <c r="H3" s="22" t="n">
        <v>15</v>
      </c>
      <c r="I3" s="22" t="n">
        <v>20</v>
      </c>
      <c r="J3" s="22" t="n">
        <v>25</v>
      </c>
      <c r="K3" s="22" t="n">
        <v>30</v>
      </c>
    </row>
    <row r="4" customFormat="false" ht="15" hidden="false" customHeight="false" outlineLevel="0" collapsed="false">
      <c r="B4" s="23" t="n">
        <v>300</v>
      </c>
      <c r="C4" s="24" t="n">
        <v>0.125</v>
      </c>
      <c r="D4" s="25" t="s">
        <v>58</v>
      </c>
      <c r="F4" s="26" t="n">
        <v>0.045</v>
      </c>
      <c r="G4" s="26" t="n">
        <v>0.0525</v>
      </c>
      <c r="H4" s="26" t="n">
        <v>0.06</v>
      </c>
      <c r="I4" s="26" t="n">
        <v>0.065</v>
      </c>
      <c r="J4" s="26" t="n">
        <v>0.0625</v>
      </c>
      <c r="K4" s="26" t="n">
        <v>0.07</v>
      </c>
    </row>
    <row r="5" customFormat="false" ht="15" hidden="false" customHeight="false" outlineLevel="0" collapsed="false">
      <c r="B5" s="23" t="n">
        <v>580</v>
      </c>
      <c r="C5" s="24" t="n">
        <v>0.105</v>
      </c>
      <c r="D5" s="25" t="s">
        <v>59</v>
      </c>
    </row>
    <row r="6" customFormat="false" ht="15" hidden="false" customHeight="false" outlineLevel="0" collapsed="false">
      <c r="B6" s="23" t="n">
        <v>640</v>
      </c>
      <c r="C6" s="24" t="n">
        <v>0.0875</v>
      </c>
      <c r="D6" s="25" t="s">
        <v>60</v>
      </c>
      <c r="F6" s="27" t="s">
        <v>61</v>
      </c>
    </row>
    <row r="7" customFormat="false" ht="15" hidden="false" customHeight="true" outlineLevel="0" collapsed="false">
      <c r="B7" s="23" t="n">
        <v>680</v>
      </c>
      <c r="C7" s="24" t="n">
        <v>0.075</v>
      </c>
      <c r="D7" s="25" t="s">
        <v>62</v>
      </c>
      <c r="F7" s="28" t="s">
        <v>63</v>
      </c>
      <c r="G7" s="28"/>
      <c r="H7" s="28"/>
      <c r="I7" s="28"/>
      <c r="J7" s="28"/>
      <c r="K7" s="28"/>
    </row>
    <row r="8" customFormat="false" ht="15" hidden="false" customHeight="false" outlineLevel="0" collapsed="false">
      <c r="B8" s="23" t="n">
        <v>720</v>
      </c>
      <c r="C8" s="24" t="n">
        <v>0.0625</v>
      </c>
      <c r="D8" s="25" t="s">
        <v>64</v>
      </c>
      <c r="F8" s="28"/>
      <c r="G8" s="28"/>
      <c r="H8" s="28"/>
      <c r="I8" s="28"/>
      <c r="J8" s="28"/>
      <c r="K8" s="28"/>
    </row>
    <row r="9" customFormat="false" ht="15" hidden="false" customHeight="false" outlineLevel="0" collapsed="false">
      <c r="B9" s="23" t="n">
        <v>780</v>
      </c>
      <c r="C9" s="24" t="n">
        <v>0.0525</v>
      </c>
      <c r="D9" s="25" t="s">
        <v>65</v>
      </c>
      <c r="F9" s="28"/>
      <c r="G9" s="28"/>
      <c r="H9" s="28"/>
      <c r="I9" s="28"/>
      <c r="J9" s="28"/>
      <c r="K9" s="28"/>
    </row>
    <row r="10" customFormat="false" ht="15" hidden="false" customHeight="false" outlineLevel="0" collapsed="false">
      <c r="F10" s="28"/>
      <c r="G10" s="28"/>
      <c r="H10" s="28"/>
      <c r="I10" s="28"/>
      <c r="J10" s="28"/>
      <c r="K10" s="28"/>
    </row>
  </sheetData>
  <mergeCells count="3">
    <mergeCell ref="B2:D2"/>
    <mergeCell ref="F2:K2"/>
    <mergeCell ref="F7:K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0"/>
    <col collapsed="false" customWidth="true" hidden="false" outlineLevel="0" max="5" min="3" style="1" width="15"/>
    <col collapsed="false" customWidth="true" hidden="false" outlineLevel="0" max="6" min="6" style="1" width="17"/>
  </cols>
  <sheetData>
    <row r="2" customFormat="false" ht="19.7" hidden="false" customHeight="false" outlineLevel="0" collapsed="false">
      <c r="B2" s="29" t="s">
        <v>66</v>
      </c>
      <c r="C2" s="29"/>
      <c r="D2" s="29"/>
      <c r="E2" s="29"/>
      <c r="F2" s="29"/>
    </row>
    <row r="4" customFormat="false" ht="15" hidden="false" customHeight="false" outlineLevel="0" collapsed="false">
      <c r="B4" s="22" t="s">
        <v>67</v>
      </c>
      <c r="C4" s="22" t="s">
        <v>68</v>
      </c>
      <c r="D4" s="22" t="s">
        <v>69</v>
      </c>
      <c r="E4" s="22" t="s">
        <v>70</v>
      </c>
      <c r="F4" s="22" t="s">
        <v>71</v>
      </c>
    </row>
    <row r="5" customFormat="false" ht="15" hidden="false" customHeight="false" outlineLevel="0" collapsed="false">
      <c r="B5" s="30" t="n">
        <v>1</v>
      </c>
      <c r="C5" s="31" t="n">
        <f aca="false">IF(B5&lt;=TermYrs*12, -PMT(IntRate/12, TermYrs*12, LoanAmt), "")</f>
        <v>2308.84282410265</v>
      </c>
      <c r="D5" s="31" t="n">
        <f aca="false">IF(B5&lt;=TermYrs*12, -IPMT(IntRate/12, B5, TermYrs*12, LoanAmt), "")</f>
        <v>1822.91666666667</v>
      </c>
      <c r="E5" s="31" t="n">
        <f aca="false">IF(B5&lt;=TermYrs*12, -PPMT(IntRate/12, B5, TermYrs*12, LoanAmt), "")</f>
        <v>485.926157435984</v>
      </c>
      <c r="F5" s="31" t="n">
        <f aca="false">IF(B5&lt;=TermYrs*12, LoanAmt-SUMIFS($E$5:E5, $B$5:B5, "&lt;="&amp;B5), "")</f>
        <v>349514.073842564</v>
      </c>
    </row>
    <row r="6" customFormat="false" ht="15" hidden="false" customHeight="false" outlineLevel="0" collapsed="false">
      <c r="B6" s="30" t="n">
        <v>2</v>
      </c>
      <c r="C6" s="31" t="n">
        <f aca="false">IF(B6&lt;=TermYrs*12, -PMT(IntRate/12, TermYrs*12, LoanAmt), "")</f>
        <v>2308.84282410265</v>
      </c>
      <c r="D6" s="31" t="n">
        <f aca="false">IF(B6&lt;=TermYrs*12, -IPMT(IntRate/12, B6, TermYrs*12, LoanAmt), "")</f>
        <v>1820.38580126335</v>
      </c>
      <c r="E6" s="31" t="n">
        <f aca="false">IF(B6&lt;=TermYrs*12, -PPMT(IntRate/12, B6, TermYrs*12, LoanAmt), "")</f>
        <v>488.457022839297</v>
      </c>
      <c r="F6" s="31" t="n">
        <f aca="false">IF(B6&lt;=TermYrs*12, LoanAmt-SUMIFS($E$5:E6, $B$5:B6, "&lt;="&amp;B6), "")</f>
        <v>349025.616819725</v>
      </c>
    </row>
    <row r="7" customFormat="false" ht="15" hidden="false" customHeight="false" outlineLevel="0" collapsed="false">
      <c r="B7" s="30" t="n">
        <v>3</v>
      </c>
      <c r="C7" s="31" t="n">
        <f aca="false">IF(B7&lt;=TermYrs*12, -PMT(IntRate/12, TermYrs*12, LoanAmt), "")</f>
        <v>2308.84282410265</v>
      </c>
      <c r="D7" s="31" t="n">
        <f aca="false">IF(B7&lt;=TermYrs*12, -IPMT(IntRate/12, B7, TermYrs*12, LoanAmt), "")</f>
        <v>1817.8417542694</v>
      </c>
      <c r="E7" s="31" t="n">
        <f aca="false">IF(B7&lt;=TermYrs*12, -PPMT(IntRate/12, B7, TermYrs*12, LoanAmt), "")</f>
        <v>491.001069833251</v>
      </c>
      <c r="F7" s="31" t="n">
        <f aca="false">IF(B7&lt;=TermYrs*12, LoanAmt-SUMIFS($E$5:E7, $B$5:B7, "&lt;="&amp;B7), "")</f>
        <v>348534.615749891</v>
      </c>
    </row>
    <row r="8" customFormat="false" ht="15" hidden="false" customHeight="false" outlineLevel="0" collapsed="false">
      <c r="B8" s="30" t="n">
        <v>4</v>
      </c>
      <c r="C8" s="31" t="n">
        <f aca="false">IF(B8&lt;=TermYrs*12, -PMT(IntRate/12, TermYrs*12, LoanAmt), "")</f>
        <v>2308.84282410265</v>
      </c>
      <c r="D8" s="31" t="n">
        <f aca="false">IF(B8&lt;=TermYrs*12, -IPMT(IntRate/12, B8, TermYrs*12, LoanAmt), "")</f>
        <v>1815.28445703068</v>
      </c>
      <c r="E8" s="31" t="n">
        <f aca="false">IF(B8&lt;=TermYrs*12, -PPMT(IntRate/12, B8, TermYrs*12, LoanAmt), "")</f>
        <v>493.558367071966</v>
      </c>
      <c r="F8" s="31" t="n">
        <f aca="false">IF(B8&lt;=TermYrs*12, LoanAmt-SUMIFS($E$5:E8, $B$5:B8, "&lt;="&amp;B8), "")</f>
        <v>348041.05738282</v>
      </c>
    </row>
    <row r="9" customFormat="false" ht="15" hidden="false" customHeight="false" outlineLevel="0" collapsed="false">
      <c r="B9" s="30" t="n">
        <v>5</v>
      </c>
      <c r="C9" s="31" t="n">
        <f aca="false">IF(B9&lt;=TermYrs*12, -PMT(IntRate/12, TermYrs*12, LoanAmt), "")</f>
        <v>2308.84282410265</v>
      </c>
      <c r="D9" s="31" t="n">
        <f aca="false">IF(B9&lt;=TermYrs*12, -IPMT(IntRate/12, B9, TermYrs*12, LoanAmt), "")</f>
        <v>1812.71384053552</v>
      </c>
      <c r="E9" s="31" t="n">
        <f aca="false">IF(B9&lt;=TermYrs*12, -PPMT(IntRate/12, B9, TermYrs*12, LoanAmt), "")</f>
        <v>496.128983567133</v>
      </c>
      <c r="F9" s="31" t="n">
        <f aca="false">IF(B9&lt;=TermYrs*12, LoanAmt-SUMIFS($E$5:E9, $B$5:B9, "&lt;="&amp;B9), "")</f>
        <v>347544.928399252</v>
      </c>
    </row>
    <row r="10" customFormat="false" ht="15" hidden="false" customHeight="false" outlineLevel="0" collapsed="false">
      <c r="B10" s="30" t="n">
        <v>6</v>
      </c>
      <c r="C10" s="31" t="n">
        <f aca="false">IF(B10&lt;=TermYrs*12, -PMT(IntRate/12, TermYrs*12, LoanAmt), "")</f>
        <v>2308.84282410265</v>
      </c>
      <c r="D10" s="31" t="n">
        <f aca="false">IF(B10&lt;=TermYrs*12, -IPMT(IntRate/12, B10, TermYrs*12, LoanAmt), "")</f>
        <v>1810.12983541277</v>
      </c>
      <c r="E10" s="31" t="n">
        <f aca="false">IF(B10&lt;=TermYrs*12, -PPMT(IntRate/12, B10, TermYrs*12, LoanAmt), "")</f>
        <v>498.712988689878</v>
      </c>
      <c r="F10" s="31" t="n">
        <f aca="false">IF(B10&lt;=TermYrs*12, LoanAmt-SUMIFS($E$5:E10, $B$5:B10, "&lt;="&amp;B10), "")</f>
        <v>347046.215410562</v>
      </c>
    </row>
    <row r="11" customFormat="false" ht="15" hidden="false" customHeight="false" outlineLevel="0" collapsed="false">
      <c r="B11" s="30" t="n">
        <v>7</v>
      </c>
      <c r="C11" s="31" t="n">
        <f aca="false">IF(B11&lt;=TermYrs*12, -PMT(IntRate/12, TermYrs*12, LoanAmt), "")</f>
        <v>2308.84282410265</v>
      </c>
      <c r="D11" s="31" t="n">
        <f aca="false">IF(B11&lt;=TermYrs*12, -IPMT(IntRate/12, B11, TermYrs*12, LoanAmt), "")</f>
        <v>1807.53237193001</v>
      </c>
      <c r="E11" s="31" t="n">
        <f aca="false">IF(B11&lt;=TermYrs*12, -PPMT(IntRate/12, B11, TermYrs*12, LoanAmt), "")</f>
        <v>501.310452172638</v>
      </c>
      <c r="F11" s="31" t="n">
        <f aca="false">IF(B11&lt;=TermYrs*12, LoanAmt-SUMIFS($E$5:E11, $B$5:B11, "&lt;="&amp;B11), "")</f>
        <v>346544.90495839</v>
      </c>
    </row>
    <row r="12" customFormat="false" ht="15" hidden="false" customHeight="false" outlineLevel="0" collapsed="false">
      <c r="B12" s="30" t="n">
        <v>8</v>
      </c>
      <c r="C12" s="31" t="n">
        <f aca="false">IF(B12&lt;=TermYrs*12, -PMT(IntRate/12, TermYrs*12, LoanAmt), "")</f>
        <v>2308.84282410265</v>
      </c>
      <c r="D12" s="31" t="n">
        <f aca="false">IF(B12&lt;=TermYrs*12, -IPMT(IntRate/12, B12, TermYrs*12, LoanAmt), "")</f>
        <v>1804.92137999161</v>
      </c>
      <c r="E12" s="31" t="n">
        <f aca="false">IF(B12&lt;=TermYrs*12, -PPMT(IntRate/12, B12, TermYrs*12, LoanAmt), "")</f>
        <v>503.921444111037</v>
      </c>
      <c r="F12" s="31" t="n">
        <f aca="false">IF(B12&lt;=TermYrs*12, LoanAmt-SUMIFS($E$5:E12, $B$5:B12, "&lt;="&amp;B12), "")</f>
        <v>346040.983514279</v>
      </c>
    </row>
    <row r="13" customFormat="false" ht="15" hidden="false" customHeight="false" outlineLevel="0" collapsed="false">
      <c r="B13" s="30" t="n">
        <v>9</v>
      </c>
      <c r="C13" s="31" t="n">
        <f aca="false">IF(B13&lt;=TermYrs*12, -PMT(IntRate/12, TermYrs*12, LoanAmt), "")</f>
        <v>2308.84282410265</v>
      </c>
      <c r="D13" s="31" t="n">
        <f aca="false">IF(B13&lt;=TermYrs*12, -IPMT(IntRate/12, B13, TermYrs*12, LoanAmt), "")</f>
        <v>1802.29678913687</v>
      </c>
      <c r="E13" s="31" t="n">
        <f aca="false">IF(B13&lt;=TermYrs*12, -PPMT(IntRate/12, B13, TermYrs*12, LoanAmt), "")</f>
        <v>506.546034965782</v>
      </c>
      <c r="F13" s="31" t="n">
        <f aca="false">IF(B13&lt;=TermYrs*12, LoanAmt-SUMIFS($E$5:E13, $B$5:B13, "&lt;="&amp;B13), "")</f>
        <v>345534.437479313</v>
      </c>
    </row>
    <row r="14" customFormat="false" ht="15" hidden="false" customHeight="false" outlineLevel="0" collapsed="false">
      <c r="B14" s="30" t="n">
        <v>10</v>
      </c>
      <c r="C14" s="31" t="n">
        <f aca="false">IF(B14&lt;=TermYrs*12, -PMT(IntRate/12, TermYrs*12, LoanAmt), "")</f>
        <v>2308.84282410265</v>
      </c>
      <c r="D14" s="31" t="n">
        <f aca="false">IF(B14&lt;=TermYrs*12, -IPMT(IntRate/12, B14, TermYrs*12, LoanAmt), "")</f>
        <v>1799.65852853809</v>
      </c>
      <c r="E14" s="31" t="n">
        <f aca="false">IF(B14&lt;=TermYrs*12, -PPMT(IntRate/12, B14, TermYrs*12, LoanAmt), "")</f>
        <v>509.184295564562</v>
      </c>
      <c r="F14" s="31" t="n">
        <f aca="false">IF(B14&lt;=TermYrs*12, LoanAmt-SUMIFS($E$5:E14, $B$5:B14, "&lt;="&amp;B14), "")</f>
        <v>345025.253183748</v>
      </c>
    </row>
    <row r="15" customFormat="false" ht="15" hidden="false" customHeight="false" outlineLevel="0" collapsed="false">
      <c r="B15" s="30" t="n">
        <v>11</v>
      </c>
      <c r="C15" s="31" t="n">
        <f aca="false">IF(B15&lt;=TermYrs*12, -PMT(IntRate/12, TermYrs*12, LoanAmt), "")</f>
        <v>2308.84282410265</v>
      </c>
      <c r="D15" s="31" t="n">
        <f aca="false">IF(B15&lt;=TermYrs*12, -IPMT(IntRate/12, B15, TermYrs*12, LoanAmt), "")</f>
        <v>1797.00652699869</v>
      </c>
      <c r="E15" s="31" t="n">
        <f aca="false">IF(B15&lt;=TermYrs*12, -PPMT(IntRate/12, B15, TermYrs*12, LoanAmt), "")</f>
        <v>511.836297103961</v>
      </c>
      <c r="F15" s="31" t="n">
        <f aca="false">IF(B15&lt;=TermYrs*12, LoanAmt-SUMIFS($E$5:E15, $B$5:B15, "&lt;="&amp;B15), "")</f>
        <v>344513.416886645</v>
      </c>
    </row>
    <row r="16" customFormat="false" ht="15" hidden="false" customHeight="false" outlineLevel="0" collapsed="false">
      <c r="B16" s="30" t="n">
        <v>12</v>
      </c>
      <c r="C16" s="31" t="n">
        <f aca="false">IF(B16&lt;=TermYrs*12, -PMT(IntRate/12, TermYrs*12, LoanAmt), "")</f>
        <v>2308.84282410265</v>
      </c>
      <c r="D16" s="31" t="n">
        <f aca="false">IF(B16&lt;=TermYrs*12, -IPMT(IntRate/12, B16, TermYrs*12, LoanAmt), "")</f>
        <v>1794.34071295127</v>
      </c>
      <c r="E16" s="31" t="n">
        <f aca="false">IF(B16&lt;=TermYrs*12, -PPMT(IntRate/12, B16, TermYrs*12, LoanAmt), "")</f>
        <v>514.502111151377</v>
      </c>
      <c r="F16" s="31" t="n">
        <f aca="false">IF(B16&lt;=TermYrs*12, LoanAmt-SUMIFS($E$5:E16, $B$5:B16, "&lt;="&amp;B16), "")</f>
        <v>343998.914775493</v>
      </c>
    </row>
    <row r="17" customFormat="false" ht="15" hidden="false" customHeight="false" outlineLevel="0" collapsed="false">
      <c r="B17" s="30" t="n">
        <v>13</v>
      </c>
      <c r="C17" s="31" t="n">
        <f aca="false">IF(B17&lt;=TermYrs*12, -PMT(IntRate/12, TermYrs*12, LoanAmt), "")</f>
        <v>2308.84282410265</v>
      </c>
      <c r="D17" s="31" t="n">
        <f aca="false">IF(B17&lt;=TermYrs*12, -IPMT(IntRate/12, B17, TermYrs*12, LoanAmt), "")</f>
        <v>1791.66101445569</v>
      </c>
      <c r="E17" s="31" t="n">
        <f aca="false">IF(B17&lt;=TermYrs*12, -PPMT(IntRate/12, B17, TermYrs*12, LoanAmt), "")</f>
        <v>517.181809646957</v>
      </c>
      <c r="F17" s="31" t="n">
        <f aca="false">IF(B17&lt;=TermYrs*12, LoanAmt-SUMIFS($E$5:E17, $B$5:B17, "&lt;="&amp;B17), "")</f>
        <v>343481.732965846</v>
      </c>
    </row>
    <row r="18" customFormat="false" ht="15" hidden="false" customHeight="false" outlineLevel="0" collapsed="false">
      <c r="B18" s="30" t="n">
        <v>14</v>
      </c>
      <c r="C18" s="31" t="n">
        <f aca="false">IF(B18&lt;=TermYrs*12, -PMT(IntRate/12, TermYrs*12, LoanAmt), "")</f>
        <v>2308.84282410265</v>
      </c>
      <c r="D18" s="31" t="n">
        <f aca="false">IF(B18&lt;=TermYrs*12, -IPMT(IntRate/12, B18, TermYrs*12, LoanAmt), "")</f>
        <v>1788.96735919712</v>
      </c>
      <c r="E18" s="31" t="n">
        <f aca="false">IF(B18&lt;=TermYrs*12, -PPMT(IntRate/12, B18, TermYrs*12, LoanAmt), "")</f>
        <v>519.875464905535</v>
      </c>
      <c r="F18" s="31" t="n">
        <f aca="false">IF(B18&lt;=TermYrs*12, LoanAmt-SUMIFS($E$5:E18, $B$5:B18, "&lt;="&amp;B18), "")</f>
        <v>342961.857500941</v>
      </c>
    </row>
    <row r="19" customFormat="false" ht="15" hidden="false" customHeight="false" outlineLevel="0" collapsed="false">
      <c r="B19" s="30" t="n">
        <v>15</v>
      </c>
      <c r="C19" s="31" t="n">
        <f aca="false">IF(B19&lt;=TermYrs*12, -PMT(IntRate/12, TermYrs*12, LoanAmt), "")</f>
        <v>2308.84282410265</v>
      </c>
      <c r="D19" s="31" t="n">
        <f aca="false">IF(B19&lt;=TermYrs*12, -IPMT(IntRate/12, B19, TermYrs*12, LoanAmt), "")</f>
        <v>1786.25967448407</v>
      </c>
      <c r="E19" s="31" t="n">
        <f aca="false">IF(B19&lt;=TermYrs*12, -PPMT(IntRate/12, B19, TermYrs*12, LoanAmt), "")</f>
        <v>522.583149618585</v>
      </c>
      <c r="F19" s="31" t="n">
        <f aca="false">IF(B19&lt;=TermYrs*12, LoanAmt-SUMIFS($E$5:E19, $B$5:B19, "&lt;="&amp;B19), "")</f>
        <v>342439.274351322</v>
      </c>
    </row>
    <row r="20" customFormat="false" ht="15" hidden="false" customHeight="false" outlineLevel="0" collapsed="false">
      <c r="B20" s="30" t="n">
        <v>16</v>
      </c>
      <c r="C20" s="31" t="n">
        <f aca="false">IF(B20&lt;=TermYrs*12, -PMT(IntRate/12, TermYrs*12, LoanAmt), "")</f>
        <v>2308.84282410265</v>
      </c>
      <c r="D20" s="31" t="n">
        <f aca="false">IF(B20&lt;=TermYrs*12, -IPMT(IntRate/12, B20, TermYrs*12, LoanAmt), "")</f>
        <v>1783.53788724647</v>
      </c>
      <c r="E20" s="31" t="n">
        <f aca="false">IF(B20&lt;=TermYrs*12, -PPMT(IntRate/12, B20, TermYrs*12, LoanAmt), "")</f>
        <v>525.304936856182</v>
      </c>
      <c r="F20" s="31" t="n">
        <f aca="false">IF(B20&lt;=TermYrs*12, LoanAmt-SUMIFS($E$5:E20, $B$5:B20, "&lt;="&amp;B20), "")</f>
        <v>341913.969414466</v>
      </c>
    </row>
    <row r="21" customFormat="false" ht="15" hidden="false" customHeight="false" outlineLevel="0" collapsed="false">
      <c r="B21" s="30" t="n">
        <v>17</v>
      </c>
      <c r="C21" s="31" t="n">
        <f aca="false">IF(B21&lt;=TermYrs*12, -PMT(IntRate/12, TermYrs*12, LoanAmt), "")</f>
        <v>2308.84282410265</v>
      </c>
      <c r="D21" s="31" t="n">
        <f aca="false">IF(B21&lt;=TermYrs*12, -IPMT(IntRate/12, B21, TermYrs*12, LoanAmt), "")</f>
        <v>1780.80192403368</v>
      </c>
      <c r="E21" s="31" t="n">
        <f aca="false">IF(B21&lt;=TermYrs*12, -PPMT(IntRate/12, B21, TermYrs*12, LoanAmt), "")</f>
        <v>528.040900068974</v>
      </c>
      <c r="F21" s="31" t="n">
        <f aca="false">IF(B21&lt;=TermYrs*12, LoanAmt-SUMIFS($E$5:E21, $B$5:B21, "&lt;="&amp;B21), "")</f>
        <v>341385.928514397</v>
      </c>
    </row>
    <row r="22" customFormat="false" ht="15" hidden="false" customHeight="false" outlineLevel="0" collapsed="false">
      <c r="B22" s="30" t="n">
        <v>18</v>
      </c>
      <c r="C22" s="31" t="n">
        <f aca="false">IF(B22&lt;=TermYrs*12, -PMT(IntRate/12, TermYrs*12, LoanAmt), "")</f>
        <v>2308.84282410265</v>
      </c>
      <c r="D22" s="31" t="n">
        <f aca="false">IF(B22&lt;=TermYrs*12, -IPMT(IntRate/12, B22, TermYrs*12, LoanAmt), "")</f>
        <v>1778.05171101248</v>
      </c>
      <c r="E22" s="31" t="n">
        <f aca="false">IF(B22&lt;=TermYrs*12, -PPMT(IntRate/12, B22, TermYrs*12, LoanAmt), "")</f>
        <v>530.791113090166</v>
      </c>
      <c r="F22" s="31" t="n">
        <f aca="false">IF(B22&lt;=TermYrs*12, LoanAmt-SUMIFS($E$5:E22, $B$5:B22, "&lt;="&amp;B22), "")</f>
        <v>340855.137401307</v>
      </c>
    </row>
    <row r="23" customFormat="false" ht="15" hidden="false" customHeight="false" outlineLevel="0" collapsed="false">
      <c r="B23" s="30" t="n">
        <v>19</v>
      </c>
      <c r="C23" s="31" t="n">
        <f aca="false">IF(B23&lt;=TermYrs*12, -PMT(IntRate/12, TermYrs*12, LoanAmt), "")</f>
        <v>2308.84282410265</v>
      </c>
      <c r="D23" s="31" t="n">
        <f aca="false">IF(B23&lt;=TermYrs*12, -IPMT(IntRate/12, B23, TermYrs*12, LoanAmt), "")</f>
        <v>1775.28717396514</v>
      </c>
      <c r="E23" s="31" t="n">
        <f aca="false">IF(B23&lt;=TermYrs*12, -PPMT(IntRate/12, B23, TermYrs*12, LoanAmt), "")</f>
        <v>533.555650137511</v>
      </c>
      <c r="F23" s="31" t="n">
        <f aca="false">IF(B23&lt;=TermYrs*12, LoanAmt-SUMIFS($E$5:E23, $B$5:B23, "&lt;="&amp;B23), "")</f>
        <v>340321.581751169</v>
      </c>
    </row>
    <row r="24" customFormat="false" ht="15" hidden="false" customHeight="false" outlineLevel="0" collapsed="false">
      <c r="B24" s="30" t="n">
        <v>20</v>
      </c>
      <c r="C24" s="31" t="n">
        <f aca="false">IF(B24&lt;=TermYrs*12, -PMT(IntRate/12, TermYrs*12, LoanAmt), "")</f>
        <v>2308.84282410265</v>
      </c>
      <c r="D24" s="31" t="n">
        <f aca="false">IF(B24&lt;=TermYrs*12, -IPMT(IntRate/12, B24, TermYrs*12, LoanAmt), "")</f>
        <v>1772.50823828734</v>
      </c>
      <c r="E24" s="31" t="n">
        <f aca="false">IF(B24&lt;=TermYrs*12, -PPMT(IntRate/12, B24, TermYrs*12, LoanAmt), "")</f>
        <v>536.334585815311</v>
      </c>
      <c r="F24" s="31" t="n">
        <f aca="false">IF(B24&lt;=TermYrs*12, LoanAmt-SUMIFS($E$5:E24, $B$5:B24, "&lt;="&amp;B24), "")</f>
        <v>339785.247165354</v>
      </c>
    </row>
    <row r="25" customFormat="false" ht="15" hidden="false" customHeight="false" outlineLevel="0" collapsed="false">
      <c r="B25" s="30" t="n">
        <v>21</v>
      </c>
      <c r="C25" s="31" t="n">
        <f aca="false">IF(B25&lt;=TermYrs*12, -PMT(IntRate/12, TermYrs*12, LoanAmt), "")</f>
        <v>2308.84282410265</v>
      </c>
      <c r="D25" s="31" t="n">
        <f aca="false">IF(B25&lt;=TermYrs*12, -IPMT(IntRate/12, B25, TermYrs*12, LoanAmt), "")</f>
        <v>1769.71482898622</v>
      </c>
      <c r="E25" s="31" t="n">
        <f aca="false">IF(B25&lt;=TermYrs*12, -PPMT(IntRate/12, B25, TermYrs*12, LoanAmt), "")</f>
        <v>539.127995116432</v>
      </c>
      <c r="F25" s="31" t="n">
        <f aca="false">IF(B25&lt;=TermYrs*12, LoanAmt-SUMIFS($E$5:E25, $B$5:B25, "&lt;="&amp;B25), "")</f>
        <v>339246.119170238</v>
      </c>
    </row>
    <row r="26" customFormat="false" ht="15" hidden="false" customHeight="false" outlineLevel="0" collapsed="false">
      <c r="B26" s="30" t="n">
        <v>22</v>
      </c>
      <c r="C26" s="31" t="n">
        <f aca="false">IF(B26&lt;=TermYrs*12, -PMT(IntRate/12, TermYrs*12, LoanAmt), "")</f>
        <v>2308.84282410265</v>
      </c>
      <c r="D26" s="31" t="n">
        <f aca="false">IF(B26&lt;=TermYrs*12, -IPMT(IntRate/12, B26, TermYrs*12, LoanAmt), "")</f>
        <v>1766.90687067832</v>
      </c>
      <c r="E26" s="31" t="n">
        <f aca="false">IF(B26&lt;=TermYrs*12, -PPMT(IntRate/12, B26, TermYrs*12, LoanAmt), "")</f>
        <v>541.93595342433</v>
      </c>
      <c r="F26" s="31" t="n">
        <f aca="false">IF(B26&lt;=TermYrs*12, LoanAmt-SUMIFS($E$5:E26, $B$5:B26, "&lt;="&amp;B26), "")</f>
        <v>338704.183216813</v>
      </c>
    </row>
    <row r="27" customFormat="false" ht="15" hidden="false" customHeight="false" outlineLevel="0" collapsed="false">
      <c r="B27" s="30" t="n">
        <v>23</v>
      </c>
      <c r="C27" s="31" t="n">
        <f aca="false">IF(B27&lt;=TermYrs*12, -PMT(IntRate/12, TermYrs*12, LoanAmt), "")</f>
        <v>2308.84282410265</v>
      </c>
      <c r="D27" s="31" t="n">
        <f aca="false">IF(B27&lt;=TermYrs*12, -IPMT(IntRate/12, B27, TermYrs*12, LoanAmt), "")</f>
        <v>1764.08428758757</v>
      </c>
      <c r="E27" s="31" t="n">
        <f aca="false">IF(B27&lt;=TermYrs*12, -PPMT(IntRate/12, B27, TermYrs*12, LoanAmt), "")</f>
        <v>544.758536515082</v>
      </c>
      <c r="F27" s="31" t="n">
        <f aca="false">IF(B27&lt;=TermYrs*12, LoanAmt-SUMIFS($E$5:E27, $B$5:B27, "&lt;="&amp;B27), "")</f>
        <v>338159.424680298</v>
      </c>
    </row>
    <row r="28" customFormat="false" ht="15" hidden="false" customHeight="false" outlineLevel="0" collapsed="false">
      <c r="B28" s="30" t="n">
        <v>24</v>
      </c>
      <c r="C28" s="31" t="n">
        <f aca="false">IF(B28&lt;=TermYrs*12, -PMT(IntRate/12, TermYrs*12, LoanAmt), "")</f>
        <v>2308.84282410265</v>
      </c>
      <c r="D28" s="31" t="n">
        <f aca="false">IF(B28&lt;=TermYrs*12, -IPMT(IntRate/12, B28, TermYrs*12, LoanAmt), "")</f>
        <v>1761.24700354322</v>
      </c>
      <c r="E28" s="31" t="n">
        <f aca="false">IF(B28&lt;=TermYrs*12, -PPMT(IntRate/12, B28, TermYrs*12, LoanAmt), "")</f>
        <v>547.595820559431</v>
      </c>
      <c r="F28" s="31" t="n">
        <f aca="false">IF(B28&lt;=TermYrs*12, LoanAmt-SUMIFS($E$5:E28, $B$5:B28, "&lt;="&amp;B28), "")</f>
        <v>337611.828859739</v>
      </c>
    </row>
    <row r="29" customFormat="false" ht="15" hidden="false" customHeight="false" outlineLevel="0" collapsed="false">
      <c r="B29" s="30" t="n">
        <v>25</v>
      </c>
      <c r="C29" s="31" t="n">
        <f aca="false">IF(B29&lt;=TermYrs*12, -PMT(IntRate/12, TermYrs*12, LoanAmt), "")</f>
        <v>2308.84282410265</v>
      </c>
      <c r="D29" s="31" t="n">
        <f aca="false">IF(B29&lt;=TermYrs*12, -IPMT(IntRate/12, B29, TermYrs*12, LoanAmt), "")</f>
        <v>1758.39494197781</v>
      </c>
      <c r="E29" s="31" t="n">
        <f aca="false">IF(B29&lt;=TermYrs*12, -PPMT(IntRate/12, B29, TermYrs*12, LoanAmt), "")</f>
        <v>550.447882124845</v>
      </c>
      <c r="F29" s="31" t="n">
        <f aca="false">IF(B29&lt;=TermYrs*12, LoanAmt-SUMIFS($E$5:E29, $B$5:B29, "&lt;="&amp;B29), "")</f>
        <v>337061.380977614</v>
      </c>
    </row>
    <row r="30" customFormat="false" ht="15" hidden="false" customHeight="false" outlineLevel="0" collapsed="false">
      <c r="B30" s="30" t="n">
        <v>26</v>
      </c>
      <c r="C30" s="31" t="n">
        <f aca="false">IF(B30&lt;=TermYrs*12, -PMT(IntRate/12, TermYrs*12, LoanAmt), "")</f>
        <v>2308.84282410265</v>
      </c>
      <c r="D30" s="31" t="n">
        <f aca="false">IF(B30&lt;=TermYrs*12, -IPMT(IntRate/12, B30, TermYrs*12, LoanAmt), "")</f>
        <v>1755.52802592507</v>
      </c>
      <c r="E30" s="31" t="n">
        <f aca="false">IF(B30&lt;=TermYrs*12, -PPMT(IntRate/12, B30, TermYrs*12, LoanAmt), "")</f>
        <v>553.314798177578</v>
      </c>
      <c r="F30" s="31" t="n">
        <f aca="false">IF(B30&lt;=TermYrs*12, LoanAmt-SUMIFS($E$5:E30, $B$5:B30, "&lt;="&amp;B30), "")</f>
        <v>336508.066179436</v>
      </c>
    </row>
    <row r="31" customFormat="false" ht="15" hidden="false" customHeight="false" outlineLevel="0" collapsed="false">
      <c r="B31" s="30" t="n">
        <v>27</v>
      </c>
      <c r="C31" s="31" t="n">
        <f aca="false">IF(B31&lt;=TermYrs*12, -PMT(IntRate/12, TermYrs*12, LoanAmt), "")</f>
        <v>2308.84282410265</v>
      </c>
      <c r="D31" s="31" t="n">
        <f aca="false">IF(B31&lt;=TermYrs*12, -IPMT(IntRate/12, B31, TermYrs*12, LoanAmt), "")</f>
        <v>1752.6461780179</v>
      </c>
      <c r="E31" s="31" t="n">
        <f aca="false">IF(B31&lt;=TermYrs*12, -PPMT(IntRate/12, B31, TermYrs*12, LoanAmt), "")</f>
        <v>556.196646084753</v>
      </c>
      <c r="F31" s="31" t="n">
        <f aca="false">IF(B31&lt;=TermYrs*12, LoanAmt-SUMIFS($E$5:E31, $B$5:B31, "&lt;="&amp;B31), "")</f>
        <v>335951.869533351</v>
      </c>
    </row>
    <row r="32" customFormat="false" ht="15" hidden="false" customHeight="false" outlineLevel="0" collapsed="false">
      <c r="B32" s="30" t="n">
        <v>28</v>
      </c>
      <c r="C32" s="31" t="n">
        <f aca="false">IF(B32&lt;=TermYrs*12, -PMT(IntRate/12, TermYrs*12, LoanAmt), "")</f>
        <v>2308.84282410265</v>
      </c>
      <c r="D32" s="31" t="n">
        <f aca="false">IF(B32&lt;=TermYrs*12, -IPMT(IntRate/12, B32, TermYrs*12, LoanAmt), "")</f>
        <v>1749.74932048621</v>
      </c>
      <c r="E32" s="31" t="n">
        <f aca="false">IF(B32&lt;=TermYrs*12, -PPMT(IntRate/12, B32, TermYrs*12, LoanAmt), "")</f>
        <v>559.093503616444</v>
      </c>
      <c r="F32" s="31" t="n">
        <f aca="false">IF(B32&lt;=TermYrs*12, LoanAmt-SUMIFS($E$5:E32, $B$5:B32, "&lt;="&amp;B32), "")</f>
        <v>335392.776029735</v>
      </c>
    </row>
    <row r="33" customFormat="false" ht="15" hidden="false" customHeight="false" outlineLevel="0" collapsed="false">
      <c r="B33" s="30" t="n">
        <v>29</v>
      </c>
      <c r="C33" s="31" t="n">
        <f aca="false">IF(B33&lt;=TermYrs*12, -PMT(IntRate/12, TermYrs*12, LoanAmt), "")</f>
        <v>2308.84282410265</v>
      </c>
      <c r="D33" s="31" t="n">
        <f aca="false">IF(B33&lt;=TermYrs*12, -IPMT(IntRate/12, B33, TermYrs*12, LoanAmt), "")</f>
        <v>1746.83737515487</v>
      </c>
      <c r="E33" s="31" t="n">
        <f aca="false">IF(B33&lt;=TermYrs*12, -PPMT(IntRate/12, B33, TermYrs*12, LoanAmt), "")</f>
        <v>562.00544894778</v>
      </c>
      <c r="F33" s="31" t="n">
        <f aca="false">IF(B33&lt;=TermYrs*12, LoanAmt-SUMIFS($E$5:E33, $B$5:B33, "&lt;="&amp;B33), "")</f>
        <v>334830.770580787</v>
      </c>
    </row>
    <row r="34" customFormat="false" ht="15" hidden="false" customHeight="false" outlineLevel="0" collapsed="false">
      <c r="B34" s="30" t="n">
        <v>30</v>
      </c>
      <c r="C34" s="31" t="n">
        <f aca="false">IF(B34&lt;=TermYrs*12, -PMT(IntRate/12, TermYrs*12, LoanAmt), "")</f>
        <v>2308.84282410265</v>
      </c>
      <c r="D34" s="31" t="n">
        <f aca="false">IF(B34&lt;=TermYrs*12, -IPMT(IntRate/12, B34, TermYrs*12, LoanAmt), "")</f>
        <v>1743.9102634416</v>
      </c>
      <c r="E34" s="31" t="n">
        <f aca="false">IF(B34&lt;=TermYrs*12, -PPMT(IntRate/12, B34, TermYrs*12, LoanAmt), "")</f>
        <v>564.93256066105</v>
      </c>
      <c r="F34" s="31" t="n">
        <f aca="false">IF(B34&lt;=TermYrs*12, LoanAmt-SUMIFS($E$5:E34, $B$5:B34, "&lt;="&amp;B34), "")</f>
        <v>334265.838020126</v>
      </c>
    </row>
    <row r="35" customFormat="false" ht="15" hidden="false" customHeight="false" outlineLevel="0" collapsed="false">
      <c r="B35" s="30" t="n">
        <v>31</v>
      </c>
      <c r="C35" s="31" t="n">
        <f aca="false">IF(B35&lt;=TermYrs*12, -PMT(IntRate/12, TermYrs*12, LoanAmt), "")</f>
        <v>2308.84282410265</v>
      </c>
      <c r="D35" s="31" t="n">
        <f aca="false">IF(B35&lt;=TermYrs*12, -IPMT(IntRate/12, B35, TermYrs*12, LoanAmt), "")</f>
        <v>1740.96790635483</v>
      </c>
      <c r="E35" s="31" t="n">
        <f aca="false">IF(B35&lt;=TermYrs*12, -PPMT(IntRate/12, B35, TermYrs*12, LoanAmt), "")</f>
        <v>567.874917747826</v>
      </c>
      <c r="F35" s="31" t="n">
        <f aca="false">IF(B35&lt;=TermYrs*12, LoanAmt-SUMIFS($E$5:E35, $B$5:B35, "&lt;="&amp;B35), "")</f>
        <v>333697.963102378</v>
      </c>
    </row>
    <row r="36" customFormat="false" ht="15" hidden="false" customHeight="false" outlineLevel="0" collapsed="false">
      <c r="B36" s="30" t="n">
        <v>32</v>
      </c>
      <c r="C36" s="31" t="n">
        <f aca="false">IF(B36&lt;=TermYrs*12, -PMT(IntRate/12, TermYrs*12, LoanAmt), "")</f>
        <v>2308.84282410265</v>
      </c>
      <c r="D36" s="31" t="n">
        <f aca="false">IF(B36&lt;=TermYrs*12, -IPMT(IntRate/12, B36, TermYrs*12, LoanAmt), "")</f>
        <v>1738.01022449156</v>
      </c>
      <c r="E36" s="31" t="n">
        <f aca="false">IF(B36&lt;=TermYrs*12, -PPMT(IntRate/12, B36, TermYrs*12, LoanAmt), "")</f>
        <v>570.832599611096</v>
      </c>
      <c r="F36" s="31" t="n">
        <f aca="false">IF(B36&lt;=TermYrs*12, LoanAmt-SUMIFS($E$5:E36, $B$5:B36, "&lt;="&amp;B36), "")</f>
        <v>333127.130502767</v>
      </c>
    </row>
    <row r="37" customFormat="false" ht="15" hidden="false" customHeight="false" outlineLevel="0" collapsed="false">
      <c r="B37" s="30" t="n">
        <v>33</v>
      </c>
      <c r="C37" s="31" t="n">
        <f aca="false">IF(B37&lt;=TermYrs*12, -PMT(IntRate/12, TermYrs*12, LoanAmt), "")</f>
        <v>2308.84282410265</v>
      </c>
      <c r="D37" s="31" t="n">
        <f aca="false">IF(B37&lt;=TermYrs*12, -IPMT(IntRate/12, B37, TermYrs*12, LoanAmt), "")</f>
        <v>1735.03713803525</v>
      </c>
      <c r="E37" s="31" t="n">
        <f aca="false">IF(B37&lt;=TermYrs*12, -PPMT(IntRate/12, B37, TermYrs*12, LoanAmt), "")</f>
        <v>573.805686067404</v>
      </c>
      <c r="F37" s="31" t="n">
        <f aca="false">IF(B37&lt;=TermYrs*12, LoanAmt-SUMIFS($E$5:E37, $B$5:B37, "&lt;="&amp;B37), "")</f>
        <v>332553.3248167</v>
      </c>
    </row>
    <row r="38" customFormat="false" ht="15" hidden="false" customHeight="false" outlineLevel="0" collapsed="false">
      <c r="B38" s="30" t="n">
        <v>34</v>
      </c>
      <c r="C38" s="31" t="n">
        <f aca="false">IF(B38&lt;=TermYrs*12, -PMT(IntRate/12, TermYrs*12, LoanAmt), "")</f>
        <v>2308.84282410265</v>
      </c>
      <c r="D38" s="31" t="n">
        <f aca="false">IF(B38&lt;=TermYrs*12, -IPMT(IntRate/12, B38, TermYrs*12, LoanAmt), "")</f>
        <v>1732.04856675365</v>
      </c>
      <c r="E38" s="31" t="n">
        <f aca="false">IF(B38&lt;=TermYrs*12, -PPMT(IntRate/12, B38, TermYrs*12, LoanAmt), "")</f>
        <v>576.794257349005</v>
      </c>
      <c r="F38" s="31" t="n">
        <f aca="false">IF(B38&lt;=TermYrs*12, LoanAmt-SUMIFS($E$5:E38, $B$5:B38, "&lt;="&amp;B38), "")</f>
        <v>331976.530559351</v>
      </c>
    </row>
    <row r="39" customFormat="false" ht="15" hidden="false" customHeight="false" outlineLevel="0" collapsed="false">
      <c r="B39" s="30" t="n">
        <v>35</v>
      </c>
      <c r="C39" s="31" t="n">
        <f aca="false">IF(B39&lt;=TermYrs*12, -PMT(IntRate/12, TermYrs*12, LoanAmt), "")</f>
        <v>2308.84282410265</v>
      </c>
      <c r="D39" s="31" t="n">
        <f aca="false">IF(B39&lt;=TermYrs*12, -IPMT(IntRate/12, B39, TermYrs*12, LoanAmt), "")</f>
        <v>1729.04442999662</v>
      </c>
      <c r="E39" s="31" t="n">
        <f aca="false">IF(B39&lt;=TermYrs*12, -PPMT(IntRate/12, B39, TermYrs*12, LoanAmt), "")</f>
        <v>579.798394106031</v>
      </c>
      <c r="F39" s="31" t="n">
        <f aca="false">IF(B39&lt;=TermYrs*12, LoanAmt-SUMIFS($E$5:E39, $B$5:B39, "&lt;="&amp;B39), "")</f>
        <v>331396.732165245</v>
      </c>
    </row>
    <row r="40" customFormat="false" ht="15" hidden="false" customHeight="false" outlineLevel="0" collapsed="false">
      <c r="B40" s="30" t="n">
        <v>36</v>
      </c>
      <c r="C40" s="31" t="n">
        <f aca="false">IF(B40&lt;=TermYrs*12, -PMT(IntRate/12, TermYrs*12, LoanAmt), "")</f>
        <v>2308.84282410265</v>
      </c>
      <c r="D40" s="31" t="n">
        <f aca="false">IF(B40&lt;=TermYrs*12, -IPMT(IntRate/12, B40, TermYrs*12, LoanAmt), "")</f>
        <v>1726.02464669398</v>
      </c>
      <c r="E40" s="31" t="n">
        <f aca="false">IF(B40&lt;=TermYrs*12, -PPMT(IntRate/12, B40, TermYrs*12, LoanAmt), "")</f>
        <v>582.818177408666</v>
      </c>
      <c r="F40" s="31" t="n">
        <f aca="false">IF(B40&lt;=TermYrs*12, LoanAmt-SUMIFS($E$5:E40, $B$5:B40, "&lt;="&amp;B40), "")</f>
        <v>330813.913987836</v>
      </c>
    </row>
    <row r="41" customFormat="false" ht="15" hidden="false" customHeight="false" outlineLevel="0" collapsed="false">
      <c r="B41" s="30" t="n">
        <v>37</v>
      </c>
      <c r="C41" s="31" t="n">
        <f aca="false">IF(B41&lt;=TermYrs*12, -PMT(IntRate/12, TermYrs*12, LoanAmt), "")</f>
        <v>2308.84282410265</v>
      </c>
      <c r="D41" s="31" t="n">
        <f aca="false">IF(B41&lt;=TermYrs*12, -IPMT(IntRate/12, B41, TermYrs*12, LoanAmt), "")</f>
        <v>1722.98913535331</v>
      </c>
      <c r="E41" s="31" t="n">
        <f aca="false">IF(B41&lt;=TermYrs*12, -PPMT(IntRate/12, B41, TermYrs*12, LoanAmt), "")</f>
        <v>585.853688749336</v>
      </c>
      <c r="F41" s="31" t="n">
        <f aca="false">IF(B41&lt;=TermYrs*12, LoanAmt-SUMIFS($E$5:E41, $B$5:B41, "&lt;="&amp;B41), "")</f>
        <v>330228.060299087</v>
      </c>
    </row>
    <row r="42" customFormat="false" ht="15" hidden="false" customHeight="false" outlineLevel="0" collapsed="false">
      <c r="B42" s="30" t="n">
        <v>38</v>
      </c>
      <c r="C42" s="31" t="n">
        <f aca="false">IF(B42&lt;=TermYrs*12, -PMT(IntRate/12, TermYrs*12, LoanAmt), "")</f>
        <v>2308.84282410265</v>
      </c>
      <c r="D42" s="31" t="n">
        <f aca="false">IF(B42&lt;=TermYrs*12, -IPMT(IntRate/12, B42, TermYrs*12, LoanAmt), "")</f>
        <v>1719.93781405775</v>
      </c>
      <c r="E42" s="31" t="n">
        <f aca="false">IF(B42&lt;=TermYrs*12, -PPMT(IntRate/12, B42, TermYrs*12, LoanAmt), "")</f>
        <v>588.905010044905</v>
      </c>
      <c r="F42" s="31" t="n">
        <f aca="false">IF(B42&lt;=TermYrs*12, LoanAmt-SUMIFS($E$5:E42, $B$5:B42, "&lt;="&amp;B42), "")</f>
        <v>329639.155289042</v>
      </c>
    </row>
    <row r="43" customFormat="false" ht="15" hidden="false" customHeight="false" outlineLevel="0" collapsed="false">
      <c r="B43" s="30" t="n">
        <v>39</v>
      </c>
      <c r="C43" s="31" t="n">
        <f aca="false">IF(B43&lt;=TermYrs*12, -PMT(IntRate/12, TermYrs*12, LoanAmt), "")</f>
        <v>2308.84282410265</v>
      </c>
      <c r="D43" s="31" t="n">
        <f aca="false">IF(B43&lt;=TermYrs*12, -IPMT(IntRate/12, B43, TermYrs*12, LoanAmt), "")</f>
        <v>1716.87060046376</v>
      </c>
      <c r="E43" s="31" t="n">
        <f aca="false">IF(B43&lt;=TermYrs*12, -PPMT(IntRate/12, B43, TermYrs*12, LoanAmt), "")</f>
        <v>591.972223638889</v>
      </c>
      <c r="F43" s="31" t="n">
        <f aca="false">IF(B43&lt;=TermYrs*12, LoanAmt-SUMIFS($E$5:E43, $B$5:B43, "&lt;="&amp;B43), "")</f>
        <v>329047.183065403</v>
      </c>
    </row>
    <row r="44" customFormat="false" ht="15" hidden="false" customHeight="false" outlineLevel="0" collapsed="false">
      <c r="B44" s="30" t="n">
        <v>40</v>
      </c>
      <c r="C44" s="31" t="n">
        <f aca="false">IF(B44&lt;=TermYrs*12, -PMT(IntRate/12, TermYrs*12, LoanAmt), "")</f>
        <v>2308.84282410265</v>
      </c>
      <c r="D44" s="31" t="n">
        <f aca="false">IF(B44&lt;=TermYrs*12, -IPMT(IntRate/12, B44, TermYrs*12, LoanAmt), "")</f>
        <v>1713.78741179898</v>
      </c>
      <c r="E44" s="31" t="n">
        <f aca="false">IF(B44&lt;=TermYrs*12, -PPMT(IntRate/12, B44, TermYrs*12, LoanAmt), "")</f>
        <v>595.055412303675</v>
      </c>
      <c r="F44" s="31" t="n">
        <f aca="false">IF(B44&lt;=TermYrs*12, LoanAmt-SUMIFS($E$5:E44, $B$5:B44, "&lt;="&amp;B44), "")</f>
        <v>328452.127653099</v>
      </c>
    </row>
    <row r="45" customFormat="false" ht="15" hidden="false" customHeight="false" outlineLevel="0" collapsed="false">
      <c r="B45" s="30" t="n">
        <v>41</v>
      </c>
      <c r="C45" s="31" t="n">
        <f aca="false">IF(B45&lt;=TermYrs*12, -PMT(IntRate/12, TermYrs*12, LoanAmt), "")</f>
        <v>2308.84282410265</v>
      </c>
      <c r="D45" s="31" t="n">
        <f aca="false">IF(B45&lt;=TermYrs*12, -IPMT(IntRate/12, B45, TermYrs*12, LoanAmt), "")</f>
        <v>1710.68816485989</v>
      </c>
      <c r="E45" s="31" t="n">
        <f aca="false">IF(B45&lt;=TermYrs*12, -PPMT(IntRate/12, B45, TermYrs*12, LoanAmt), "")</f>
        <v>598.154659242757</v>
      </c>
      <c r="F45" s="31" t="n">
        <f aca="false">IF(B45&lt;=TermYrs*12, LoanAmt-SUMIFS($E$5:E45, $B$5:B45, "&lt;="&amp;B45), "")</f>
        <v>327853.972993857</v>
      </c>
    </row>
    <row r="46" customFormat="false" ht="15" hidden="false" customHeight="false" outlineLevel="0" collapsed="false">
      <c r="B46" s="30" t="n">
        <v>42</v>
      </c>
      <c r="C46" s="31" t="n">
        <f aca="false">IF(B46&lt;=TermYrs*12, -PMT(IntRate/12, TermYrs*12, LoanAmt), "")</f>
        <v>2308.84282410265</v>
      </c>
      <c r="D46" s="31" t="n">
        <f aca="false">IF(B46&lt;=TermYrs*12, -IPMT(IntRate/12, B46, TermYrs*12, LoanAmt), "")</f>
        <v>1707.57277600967</v>
      </c>
      <c r="E46" s="31" t="n">
        <f aca="false">IF(B46&lt;=TermYrs*12, -PPMT(IntRate/12, B46, TermYrs*12, LoanAmt), "")</f>
        <v>601.27004809298</v>
      </c>
      <c r="F46" s="31" t="n">
        <f aca="false">IF(B46&lt;=TermYrs*12, LoanAmt-SUMIFS($E$5:E46, $B$5:B46, "&lt;="&amp;B46), "")</f>
        <v>327252.702945764</v>
      </c>
    </row>
    <row r="47" customFormat="false" ht="15" hidden="false" customHeight="false" outlineLevel="0" collapsed="false">
      <c r="B47" s="30" t="n">
        <v>43</v>
      </c>
      <c r="C47" s="31" t="n">
        <f aca="false">IF(B47&lt;=TermYrs*12, -PMT(IntRate/12, TermYrs*12, LoanAmt), "")</f>
        <v>2308.84282410265</v>
      </c>
      <c r="D47" s="31" t="n">
        <f aca="false">IF(B47&lt;=TermYrs*12, -IPMT(IntRate/12, B47, TermYrs*12, LoanAmt), "")</f>
        <v>1704.44116117585</v>
      </c>
      <c r="E47" s="31" t="n">
        <f aca="false">IF(B47&lt;=TermYrs*12, -PPMT(IntRate/12, B47, TermYrs*12, LoanAmt), "")</f>
        <v>604.401662926797</v>
      </c>
      <c r="F47" s="31" t="n">
        <f aca="false">IF(B47&lt;=TermYrs*12, LoanAmt-SUMIFS($E$5:E47, $B$5:B47, "&lt;="&amp;B47), "")</f>
        <v>326648.301282837</v>
      </c>
    </row>
    <row r="48" customFormat="false" ht="15" hidden="false" customHeight="false" outlineLevel="0" collapsed="false">
      <c r="B48" s="30" t="n">
        <v>44</v>
      </c>
      <c r="C48" s="31" t="n">
        <f aca="false">IF(B48&lt;=TermYrs*12, -PMT(IntRate/12, TermYrs*12, LoanAmt), "")</f>
        <v>2308.84282410265</v>
      </c>
      <c r="D48" s="31" t="n">
        <f aca="false">IF(B48&lt;=TermYrs*12, -IPMT(IntRate/12, B48, TermYrs*12, LoanAmt), "")</f>
        <v>1701.29323584811</v>
      </c>
      <c r="E48" s="31" t="n">
        <f aca="false">IF(B48&lt;=TermYrs*12, -PPMT(IntRate/12, B48, TermYrs*12, LoanAmt), "")</f>
        <v>607.549588254541</v>
      </c>
      <c r="F48" s="31" t="n">
        <f aca="false">IF(B48&lt;=TermYrs*12, LoanAmt-SUMIFS($E$5:E48, $B$5:B48, "&lt;="&amp;B48), "")</f>
        <v>326040.751694582</v>
      </c>
    </row>
    <row r="49" customFormat="false" ht="15" hidden="false" customHeight="false" outlineLevel="0" collapsed="false">
      <c r="B49" s="30" t="n">
        <v>45</v>
      </c>
      <c r="C49" s="31" t="n">
        <f aca="false">IF(B49&lt;=TermYrs*12, -PMT(IntRate/12, TermYrs*12, LoanAmt), "")</f>
        <v>2308.84282410265</v>
      </c>
      <c r="D49" s="31" t="n">
        <f aca="false">IF(B49&lt;=TermYrs*12, -IPMT(IntRate/12, B49, TermYrs*12, LoanAmt), "")</f>
        <v>1698.12891507595</v>
      </c>
      <c r="E49" s="31" t="n">
        <f aca="false">IF(B49&lt;=TermYrs*12, -PPMT(IntRate/12, B49, TermYrs*12, LoanAmt), "")</f>
        <v>610.7139090267</v>
      </c>
      <c r="F49" s="31" t="n">
        <f aca="false">IF(B49&lt;=TermYrs*12, LoanAmt-SUMIFS($E$5:E49, $B$5:B49, "&lt;="&amp;B49), "")</f>
        <v>325430.037785556</v>
      </c>
    </row>
    <row r="50" customFormat="false" ht="15" hidden="false" customHeight="false" outlineLevel="0" collapsed="false">
      <c r="B50" s="30" t="n">
        <v>46</v>
      </c>
      <c r="C50" s="31" t="n">
        <f aca="false">IF(B50&lt;=TermYrs*12, -PMT(IntRate/12, TermYrs*12, LoanAmt), "")</f>
        <v>2308.84282410265</v>
      </c>
      <c r="D50" s="31" t="n">
        <f aca="false">IF(B50&lt;=TermYrs*12, -IPMT(IntRate/12, B50, TermYrs*12, LoanAmt), "")</f>
        <v>1694.94811346644</v>
      </c>
      <c r="E50" s="31" t="n">
        <f aca="false">IF(B50&lt;=TermYrs*12, -PPMT(IntRate/12, B50, TermYrs*12, LoanAmt), "")</f>
        <v>613.894710636214</v>
      </c>
      <c r="F50" s="31" t="n">
        <f aca="false">IF(B50&lt;=TermYrs*12, LoanAmt-SUMIFS($E$5:E50, $B$5:B50, "&lt;="&amp;B50), "")</f>
        <v>324816.143074919</v>
      </c>
    </row>
    <row r="51" customFormat="false" ht="15" hidden="false" customHeight="false" outlineLevel="0" collapsed="false">
      <c r="B51" s="30" t="n">
        <v>47</v>
      </c>
      <c r="C51" s="31" t="n">
        <f aca="false">IF(B51&lt;=TermYrs*12, -PMT(IntRate/12, TermYrs*12, LoanAmt), "")</f>
        <v>2308.84282410265</v>
      </c>
      <c r="D51" s="31" t="n">
        <f aca="false">IF(B51&lt;=TermYrs*12, -IPMT(IntRate/12, B51, TermYrs*12, LoanAmt), "")</f>
        <v>1691.75074518187</v>
      </c>
      <c r="E51" s="31" t="n">
        <f aca="false">IF(B51&lt;=TermYrs*12, -PPMT(IntRate/12, B51, TermYrs*12, LoanAmt), "")</f>
        <v>617.092078920778</v>
      </c>
      <c r="F51" s="31" t="n">
        <f aca="false">IF(B51&lt;=TermYrs*12, LoanAmt-SUMIFS($E$5:E51, $B$5:B51, "&lt;="&amp;B51), "")</f>
        <v>324199.050995999</v>
      </c>
    </row>
    <row r="52" customFormat="false" ht="15" hidden="false" customHeight="false" outlineLevel="0" collapsed="false">
      <c r="B52" s="30" t="n">
        <v>48</v>
      </c>
      <c r="C52" s="31" t="n">
        <f aca="false">IF(B52&lt;=TermYrs*12, -PMT(IntRate/12, TermYrs*12, LoanAmt), "")</f>
        <v>2308.84282410265</v>
      </c>
      <c r="D52" s="31" t="n">
        <f aca="false">IF(B52&lt;=TermYrs*12, -IPMT(IntRate/12, B52, TermYrs*12, LoanAmt), "")</f>
        <v>1688.53672393749</v>
      </c>
      <c r="E52" s="31" t="n">
        <f aca="false">IF(B52&lt;=TermYrs*12, -PPMT(IntRate/12, B52, TermYrs*12, LoanAmt), "")</f>
        <v>620.306100165156</v>
      </c>
      <c r="F52" s="31" t="n">
        <f aca="false">IF(B52&lt;=TermYrs*12, LoanAmt-SUMIFS($E$5:E52, $B$5:B52, "&lt;="&amp;B52), "")</f>
        <v>323578.744895833</v>
      </c>
    </row>
    <row r="53" customFormat="false" ht="15" hidden="false" customHeight="false" outlineLevel="0" collapsed="false">
      <c r="B53" s="30" t="n">
        <v>49</v>
      </c>
      <c r="C53" s="31" t="n">
        <f aca="false">IF(B53&lt;=TermYrs*12, -PMT(IntRate/12, TermYrs*12, LoanAmt), "")</f>
        <v>2308.84282410265</v>
      </c>
      <c r="D53" s="31" t="n">
        <f aca="false">IF(B53&lt;=TermYrs*12, -IPMT(IntRate/12, B53, TermYrs*12, LoanAmt), "")</f>
        <v>1685.30596299913</v>
      </c>
      <c r="E53" s="31" t="n">
        <f aca="false">IF(B53&lt;=TermYrs*12, -PPMT(IntRate/12, B53, TermYrs*12, LoanAmt), "")</f>
        <v>623.536861103517</v>
      </c>
      <c r="F53" s="31" t="n">
        <f aca="false">IF(B53&lt;=TermYrs*12, LoanAmt-SUMIFS($E$5:E53, $B$5:B53, "&lt;="&amp;B53), "")</f>
        <v>322955.20803473</v>
      </c>
    </row>
    <row r="54" customFormat="false" ht="15" hidden="false" customHeight="false" outlineLevel="0" collapsed="false">
      <c r="B54" s="30" t="n">
        <v>50</v>
      </c>
      <c r="C54" s="31" t="n">
        <f aca="false">IF(B54&lt;=TermYrs*12, -PMT(IntRate/12, TermYrs*12, LoanAmt), "")</f>
        <v>2308.84282410265</v>
      </c>
      <c r="D54" s="31" t="n">
        <f aca="false">IF(B54&lt;=TermYrs*12, -IPMT(IntRate/12, B54, TermYrs*12, LoanAmt), "")</f>
        <v>1682.05837518089</v>
      </c>
      <c r="E54" s="31" t="n">
        <f aca="false">IF(B54&lt;=TermYrs*12, -PPMT(IntRate/12, B54, TermYrs*12, LoanAmt), "")</f>
        <v>626.784448921764</v>
      </c>
      <c r="F54" s="31" t="n">
        <f aca="false">IF(B54&lt;=TermYrs*12, LoanAmt-SUMIFS($E$5:E54, $B$5:B54, "&lt;="&amp;B54), "")</f>
        <v>322328.423585808</v>
      </c>
    </row>
    <row r="55" customFormat="false" ht="15" hidden="false" customHeight="false" outlineLevel="0" collapsed="false">
      <c r="B55" s="30" t="n">
        <v>51</v>
      </c>
      <c r="C55" s="31" t="n">
        <f aca="false">IF(B55&lt;=TermYrs*12, -PMT(IntRate/12, TermYrs*12, LoanAmt), "")</f>
        <v>2308.84282410265</v>
      </c>
      <c r="D55" s="31" t="n">
        <f aca="false">IF(B55&lt;=TermYrs*12, -IPMT(IntRate/12, B55, TermYrs*12, LoanAmt), "")</f>
        <v>1678.79387284275</v>
      </c>
      <c r="E55" s="31" t="n">
        <f aca="false">IF(B55&lt;=TermYrs*12, -PPMT(IntRate/12, B55, TermYrs*12, LoanAmt), "")</f>
        <v>630.048951259898</v>
      </c>
      <c r="F55" s="31" t="n">
        <f aca="false">IF(B55&lt;=TermYrs*12, LoanAmt-SUMIFS($E$5:E55, $B$5:B55, "&lt;="&amp;B55), "")</f>
        <v>321698.374634548</v>
      </c>
    </row>
    <row r="56" customFormat="false" ht="15" hidden="false" customHeight="false" outlineLevel="0" collapsed="false">
      <c r="B56" s="30" t="n">
        <v>52</v>
      </c>
      <c r="C56" s="31" t="n">
        <f aca="false">IF(B56&lt;=TermYrs*12, -PMT(IntRate/12, TermYrs*12, LoanAmt), "")</f>
        <v>2308.84282410265</v>
      </c>
      <c r="D56" s="31" t="n">
        <f aca="false">IF(B56&lt;=TermYrs*12, -IPMT(IntRate/12, B56, TermYrs*12, LoanAmt), "")</f>
        <v>1675.51236788827</v>
      </c>
      <c r="E56" s="31" t="n">
        <f aca="false">IF(B56&lt;=TermYrs*12, -PPMT(IntRate/12, B56, TermYrs*12, LoanAmt), "")</f>
        <v>633.330456214377</v>
      </c>
      <c r="F56" s="31" t="n">
        <f aca="false">IF(B56&lt;=TermYrs*12, LoanAmt-SUMIFS($E$5:E56, $B$5:B56, "&lt;="&amp;B56), "")</f>
        <v>321065.044178334</v>
      </c>
    </row>
    <row r="57" customFormat="false" ht="15" hidden="false" customHeight="false" outlineLevel="0" collapsed="false">
      <c r="B57" s="30" t="n">
        <v>53</v>
      </c>
      <c r="C57" s="31" t="n">
        <f aca="false">IF(B57&lt;=TermYrs*12, -PMT(IntRate/12, TermYrs*12, LoanAmt), "")</f>
        <v>2308.84282410265</v>
      </c>
      <c r="D57" s="31" t="n">
        <f aca="false">IF(B57&lt;=TermYrs*12, -IPMT(IntRate/12, B57, TermYrs*12, LoanAmt), "")</f>
        <v>1672.21377176216</v>
      </c>
      <c r="E57" s="31" t="n">
        <f aca="false">IF(B57&lt;=TermYrs*12, -PPMT(IntRate/12, B57, TermYrs*12, LoanAmt), "")</f>
        <v>636.629052340493</v>
      </c>
      <c r="F57" s="31" t="n">
        <f aca="false">IF(B57&lt;=TermYrs*12, LoanAmt-SUMIFS($E$5:E57, $B$5:B57, "&lt;="&amp;B57), "")</f>
        <v>320428.415125993</v>
      </c>
    </row>
    <row r="58" customFormat="false" ht="15" hidden="false" customHeight="false" outlineLevel="0" collapsed="false">
      <c r="B58" s="30" t="n">
        <v>54</v>
      </c>
      <c r="C58" s="31" t="n">
        <f aca="false">IF(B58&lt;=TermYrs*12, -PMT(IntRate/12, TermYrs*12, LoanAmt), "")</f>
        <v>2308.84282410265</v>
      </c>
      <c r="D58" s="31" t="n">
        <f aca="false">IF(B58&lt;=TermYrs*12, -IPMT(IntRate/12, B58, TermYrs*12, LoanAmt), "")</f>
        <v>1668.89799544788</v>
      </c>
      <c r="E58" s="31" t="n">
        <f aca="false">IF(B58&lt;=TermYrs*12, -PPMT(IntRate/12, B58, TermYrs*12, LoanAmt), "")</f>
        <v>639.944828654767</v>
      </c>
      <c r="F58" s="31" t="n">
        <f aca="false">IF(B58&lt;=TermYrs*12, LoanAmt-SUMIFS($E$5:E58, $B$5:B58, "&lt;="&amp;B58), "")</f>
        <v>319788.470297339</v>
      </c>
    </row>
    <row r="59" customFormat="false" ht="15" hidden="false" customHeight="false" outlineLevel="0" collapsed="false">
      <c r="B59" s="30" t="n">
        <v>55</v>
      </c>
      <c r="C59" s="31" t="n">
        <f aca="false">IF(B59&lt;=TermYrs*12, -PMT(IntRate/12, TermYrs*12, LoanAmt), "")</f>
        <v>2308.84282410265</v>
      </c>
      <c r="D59" s="31" t="n">
        <f aca="false">IF(B59&lt;=TermYrs*12, -IPMT(IntRate/12, B59, TermYrs*12, LoanAmt), "")</f>
        <v>1665.56494946531</v>
      </c>
      <c r="E59" s="31" t="n">
        <f aca="false">IF(B59&lt;=TermYrs*12, -PPMT(IntRate/12, B59, TermYrs*12, LoanAmt), "")</f>
        <v>643.277874637344</v>
      </c>
      <c r="F59" s="31" t="n">
        <f aca="false">IF(B59&lt;=TermYrs*12, LoanAmt-SUMIFS($E$5:E59, $B$5:B59, "&lt;="&amp;B59), "")</f>
        <v>319145.192422701</v>
      </c>
    </row>
    <row r="60" customFormat="false" ht="15" hidden="false" customHeight="false" outlineLevel="0" collapsed="false">
      <c r="B60" s="30" t="n">
        <v>56</v>
      </c>
      <c r="C60" s="31" t="n">
        <f aca="false">IF(B60&lt;=TermYrs*12, -PMT(IntRate/12, TermYrs*12, LoanAmt), "")</f>
        <v>2308.84282410265</v>
      </c>
      <c r="D60" s="31" t="n">
        <f aca="false">IF(B60&lt;=TermYrs*12, -IPMT(IntRate/12, B60, TermYrs*12, LoanAmt), "")</f>
        <v>1662.21454386824</v>
      </c>
      <c r="E60" s="31" t="n">
        <f aca="false">IF(B60&lt;=TermYrs*12, -PPMT(IntRate/12, B60, TermYrs*12, LoanAmt), "")</f>
        <v>646.628280234413</v>
      </c>
      <c r="F60" s="31" t="n">
        <f aca="false">IF(B60&lt;=TermYrs*12, LoanAmt-SUMIFS($E$5:E60, $B$5:B60, "&lt;="&amp;B60), "")</f>
        <v>318498.564142467</v>
      </c>
    </row>
    <row r="61" customFormat="false" ht="15" hidden="false" customHeight="false" outlineLevel="0" collapsed="false">
      <c r="B61" s="30" t="n">
        <v>57</v>
      </c>
      <c r="C61" s="31" t="n">
        <f aca="false">IF(B61&lt;=TermYrs*12, -PMT(IntRate/12, TermYrs*12, LoanAmt), "")</f>
        <v>2308.84282410265</v>
      </c>
      <c r="D61" s="31" t="n">
        <f aca="false">IF(B61&lt;=TermYrs*12, -IPMT(IntRate/12, B61, TermYrs*12, LoanAmt), "")</f>
        <v>1658.84668824202</v>
      </c>
      <c r="E61" s="31" t="n">
        <f aca="false">IF(B61&lt;=TermYrs*12, -PPMT(IntRate/12, B61, TermYrs*12, LoanAmt), "")</f>
        <v>649.996135860634</v>
      </c>
      <c r="F61" s="31" t="n">
        <f aca="false">IF(B61&lt;=TermYrs*12, LoanAmt-SUMIFS($E$5:E61, $B$5:B61, "&lt;="&amp;B61), "")</f>
        <v>317848.568006606</v>
      </c>
    </row>
    <row r="62" customFormat="false" ht="15" hidden="false" customHeight="false" outlineLevel="0" collapsed="false">
      <c r="B62" s="30" t="n">
        <v>58</v>
      </c>
      <c r="C62" s="31" t="n">
        <f aca="false">IF(B62&lt;=TermYrs*12, -PMT(IntRate/12, TermYrs*12, LoanAmt), "")</f>
        <v>2308.84282410265</v>
      </c>
      <c r="D62" s="31" t="n">
        <f aca="false">IF(B62&lt;=TermYrs*12, -IPMT(IntRate/12, B62, TermYrs*12, LoanAmt), "")</f>
        <v>1655.46129170108</v>
      </c>
      <c r="E62" s="31" t="n">
        <f aca="false">IF(B62&lt;=TermYrs*12, -PPMT(IntRate/12, B62, TermYrs*12, LoanAmt), "")</f>
        <v>653.381532401575</v>
      </c>
      <c r="F62" s="31" t="n">
        <f aca="false">IF(B62&lt;=TermYrs*12, LoanAmt-SUMIFS($E$5:E62, $B$5:B62, "&lt;="&amp;B62), "")</f>
        <v>317195.186474205</v>
      </c>
    </row>
    <row r="63" customFormat="false" ht="15" hidden="false" customHeight="false" outlineLevel="0" collapsed="false">
      <c r="B63" s="30" t="n">
        <v>59</v>
      </c>
      <c r="C63" s="31" t="n">
        <f aca="false">IF(B63&lt;=TermYrs*12, -PMT(IntRate/12, TermYrs*12, LoanAmt), "")</f>
        <v>2308.84282410265</v>
      </c>
      <c r="D63" s="31" t="n">
        <f aca="false">IF(B63&lt;=TermYrs*12, -IPMT(IntRate/12, B63, TermYrs*12, LoanAmt), "")</f>
        <v>1652.05826288649</v>
      </c>
      <c r="E63" s="31" t="n">
        <f aca="false">IF(B63&lt;=TermYrs*12, -PPMT(IntRate/12, B63, TermYrs*12, LoanAmt), "")</f>
        <v>656.784561216166</v>
      </c>
      <c r="F63" s="31" t="n">
        <f aca="false">IF(B63&lt;=TermYrs*12, LoanAmt-SUMIFS($E$5:E63, $B$5:B63, "&lt;="&amp;B63), "")</f>
        <v>316538.401912989</v>
      </c>
    </row>
    <row r="64" customFormat="false" ht="15" hidden="false" customHeight="false" outlineLevel="0" collapsed="false">
      <c r="B64" s="30" t="n">
        <v>60</v>
      </c>
      <c r="C64" s="31" t="n">
        <f aca="false">IF(B64&lt;=TermYrs*12, -PMT(IntRate/12, TermYrs*12, LoanAmt), "")</f>
        <v>2308.84282410265</v>
      </c>
      <c r="D64" s="31" t="n">
        <f aca="false">IF(B64&lt;=TermYrs*12, -IPMT(IntRate/12, B64, TermYrs*12, LoanAmt), "")</f>
        <v>1648.63750996348</v>
      </c>
      <c r="E64" s="31" t="n">
        <f aca="false">IF(B64&lt;=TermYrs*12, -PPMT(IntRate/12, B64, TermYrs*12, LoanAmt), "")</f>
        <v>660.205314139167</v>
      </c>
      <c r="F64" s="31" t="n">
        <f aca="false">IF(B64&lt;=TermYrs*12, LoanAmt-SUMIFS($E$5:E64, $B$5:B64, "&lt;="&amp;B64), "")</f>
        <v>315878.196598849</v>
      </c>
    </row>
    <row r="65" customFormat="false" ht="15" hidden="false" customHeight="false" outlineLevel="0" collapsed="false">
      <c r="B65" s="30" t="n">
        <v>61</v>
      </c>
      <c r="C65" s="31" t="n">
        <f aca="false">IF(B65&lt;=TermYrs*12, -PMT(IntRate/12, TermYrs*12, LoanAmt), "")</f>
        <v>2308.84282410265</v>
      </c>
      <c r="D65" s="31" t="n">
        <f aca="false">IF(B65&lt;=TermYrs*12, -IPMT(IntRate/12, B65, TermYrs*12, LoanAmt), "")</f>
        <v>1645.19894061901</v>
      </c>
      <c r="E65" s="31" t="n">
        <f aca="false">IF(B65&lt;=TermYrs*12, -PPMT(IntRate/12, B65, TermYrs*12, LoanAmt), "")</f>
        <v>663.643883483641</v>
      </c>
      <c r="F65" s="31" t="n">
        <f aca="false">IF(B65&lt;=TermYrs*12, LoanAmt-SUMIFS($E$5:E65, $B$5:B65, "&lt;="&amp;B65), "")</f>
        <v>315214.552715366</v>
      </c>
    </row>
    <row r="66" customFormat="false" ht="15" hidden="false" customHeight="false" outlineLevel="0" collapsed="false">
      <c r="B66" s="30" t="n">
        <v>62</v>
      </c>
      <c r="C66" s="31" t="n">
        <f aca="false">IF(B66&lt;=TermYrs*12, -PMT(IntRate/12, TermYrs*12, LoanAmt), "")</f>
        <v>2308.84282410265</v>
      </c>
      <c r="D66" s="31" t="n">
        <f aca="false">IF(B66&lt;=TermYrs*12, -IPMT(IntRate/12, B66, TermYrs*12, LoanAmt), "")</f>
        <v>1641.7424620592</v>
      </c>
      <c r="E66" s="31" t="n">
        <f aca="false">IF(B66&lt;=TermYrs*12, -PPMT(IntRate/12, B66, TermYrs*12, LoanAmt), "")</f>
        <v>667.100362043452</v>
      </c>
      <c r="F66" s="31" t="n">
        <f aca="false">IF(B66&lt;=TermYrs*12, LoanAmt-SUMIFS($E$5:E66, $B$5:B66, "&lt;="&amp;B66), "")</f>
        <v>314547.452353322</v>
      </c>
    </row>
    <row r="67" customFormat="false" ht="15" hidden="false" customHeight="false" outlineLevel="0" collapsed="false">
      <c r="B67" s="30" t="n">
        <v>63</v>
      </c>
      <c r="C67" s="31" t="n">
        <f aca="false">IF(B67&lt;=TermYrs*12, -PMT(IntRate/12, TermYrs*12, LoanAmt), "")</f>
        <v>2308.84282410265</v>
      </c>
      <c r="D67" s="31" t="n">
        <f aca="false">IF(B67&lt;=TermYrs*12, -IPMT(IntRate/12, B67, TermYrs*12, LoanAmt), "")</f>
        <v>1638.26798100689</v>
      </c>
      <c r="E67" s="31" t="n">
        <f aca="false">IF(B67&lt;=TermYrs*12, -PPMT(IntRate/12, B67, TermYrs*12, LoanAmt), "")</f>
        <v>670.574843095762</v>
      </c>
      <c r="F67" s="31" t="n">
        <f aca="false">IF(B67&lt;=TermYrs*12, LoanAmt-SUMIFS($E$5:E67, $B$5:B67, "&lt;="&amp;B67), "")</f>
        <v>313876.877510226</v>
      </c>
    </row>
    <row r="68" customFormat="false" ht="15" hidden="false" customHeight="false" outlineLevel="0" collapsed="false">
      <c r="B68" s="30" t="n">
        <v>64</v>
      </c>
      <c r="C68" s="31" t="n">
        <f aca="false">IF(B68&lt;=TermYrs*12, -PMT(IntRate/12, TermYrs*12, LoanAmt), "")</f>
        <v>2308.84282410265</v>
      </c>
      <c r="D68" s="31" t="n">
        <f aca="false">IF(B68&lt;=TermYrs*12, -IPMT(IntRate/12, B68, TermYrs*12, LoanAmt), "")</f>
        <v>1634.7754036991</v>
      </c>
      <c r="E68" s="31" t="n">
        <f aca="false">IF(B68&lt;=TermYrs*12, -PPMT(IntRate/12, B68, TermYrs*12, LoanAmt), "")</f>
        <v>674.067420403552</v>
      </c>
      <c r="F68" s="31" t="n">
        <f aca="false">IF(B68&lt;=TermYrs*12, LoanAmt-SUMIFS($E$5:E68, $B$5:B68, "&lt;="&amp;B68), "")</f>
        <v>313202.810089823</v>
      </c>
    </row>
    <row r="69" customFormat="false" ht="15" hidden="false" customHeight="false" outlineLevel="0" collapsed="false">
      <c r="B69" s="30" t="n">
        <v>65</v>
      </c>
      <c r="C69" s="31" t="n">
        <f aca="false">IF(B69&lt;=TermYrs*12, -PMT(IntRate/12, TermYrs*12, LoanAmt), "")</f>
        <v>2308.84282410265</v>
      </c>
      <c r="D69" s="31" t="n">
        <f aca="false">IF(B69&lt;=TermYrs*12, -IPMT(IntRate/12, B69, TermYrs*12, LoanAmt), "")</f>
        <v>1631.2646358845</v>
      </c>
      <c r="E69" s="31" t="n">
        <f aca="false">IF(B69&lt;=TermYrs*12, -PPMT(IntRate/12, B69, TermYrs*12, LoanAmt), "")</f>
        <v>677.578188218154</v>
      </c>
      <c r="F69" s="31" t="n">
        <f aca="false">IF(B69&lt;=TermYrs*12, LoanAmt-SUMIFS($E$5:E69, $B$5:B69, "&lt;="&amp;B69), "")</f>
        <v>312525.231901605</v>
      </c>
    </row>
    <row r="70" customFormat="false" ht="15" hidden="false" customHeight="false" outlineLevel="0" collapsed="false">
      <c r="B70" s="30" t="n">
        <v>66</v>
      </c>
      <c r="C70" s="31" t="n">
        <f aca="false">IF(B70&lt;=TermYrs*12, -PMT(IntRate/12, TermYrs*12, LoanAmt), "")</f>
        <v>2308.84282410265</v>
      </c>
      <c r="D70" s="31" t="n">
        <f aca="false">IF(B70&lt;=TermYrs*12, -IPMT(IntRate/12, B70, TermYrs*12, LoanAmt), "")</f>
        <v>1627.73558282086</v>
      </c>
      <c r="E70" s="31" t="n">
        <f aca="false">IF(B70&lt;=TermYrs*12, -PPMT(IntRate/12, B70, TermYrs*12, LoanAmt), "")</f>
        <v>681.10724128179</v>
      </c>
      <c r="F70" s="31" t="n">
        <f aca="false">IF(B70&lt;=TermYrs*12, LoanAmt-SUMIFS($E$5:E70, $B$5:B70, "&lt;="&amp;B70), "")</f>
        <v>311844.124660323</v>
      </c>
    </row>
    <row r="71" customFormat="false" ht="15" hidden="false" customHeight="false" outlineLevel="0" collapsed="false">
      <c r="B71" s="30" t="n">
        <v>67</v>
      </c>
      <c r="C71" s="31" t="n">
        <f aca="false">IF(B71&lt;=TermYrs*12, -PMT(IntRate/12, TermYrs*12, LoanAmt), "")</f>
        <v>2308.84282410265</v>
      </c>
      <c r="D71" s="31" t="n">
        <f aca="false">IF(B71&lt;=TermYrs*12, -IPMT(IntRate/12, B71, TermYrs*12, LoanAmt), "")</f>
        <v>1624.18814927252</v>
      </c>
      <c r="E71" s="31" t="n">
        <f aca="false">IF(B71&lt;=TermYrs*12, -PPMT(IntRate/12, B71, TermYrs*12, LoanAmt), "")</f>
        <v>684.654674830133</v>
      </c>
      <c r="F71" s="31" t="n">
        <f aca="false">IF(B71&lt;=TermYrs*12, LoanAmt-SUMIFS($E$5:E71, $B$5:B71, "&lt;="&amp;B71), "")</f>
        <v>311159.469985493</v>
      </c>
    </row>
    <row r="72" customFormat="false" ht="15" hidden="false" customHeight="false" outlineLevel="0" collapsed="false">
      <c r="B72" s="30" t="n">
        <v>68</v>
      </c>
      <c r="C72" s="31" t="n">
        <f aca="false">IF(B72&lt;=TermYrs*12, -PMT(IntRate/12, TermYrs*12, LoanAmt), "")</f>
        <v>2308.84282410265</v>
      </c>
      <c r="D72" s="31" t="n">
        <f aca="false">IF(B72&lt;=TermYrs*12, -IPMT(IntRate/12, B72, TermYrs*12, LoanAmt), "")</f>
        <v>1620.62223950778</v>
      </c>
      <c r="E72" s="31" t="n">
        <f aca="false">IF(B72&lt;=TermYrs*12, -PPMT(IntRate/12, B72, TermYrs*12, LoanAmt), "")</f>
        <v>688.220584594873</v>
      </c>
      <c r="F72" s="31" t="n">
        <f aca="false">IF(B72&lt;=TermYrs*12, LoanAmt-SUMIFS($E$5:E72, $B$5:B72, "&lt;="&amp;B72), "")</f>
        <v>310471.249400898</v>
      </c>
    </row>
    <row r="73" customFormat="false" ht="15" hidden="false" customHeight="false" outlineLevel="0" collapsed="false">
      <c r="B73" s="30" t="n">
        <v>69</v>
      </c>
      <c r="C73" s="31" t="n">
        <f aca="false">IF(B73&lt;=TermYrs*12, -PMT(IntRate/12, TermYrs*12, LoanAmt), "")</f>
        <v>2308.84282410265</v>
      </c>
      <c r="D73" s="31" t="n">
        <f aca="false">IF(B73&lt;=TermYrs*12, -IPMT(IntRate/12, B73, TermYrs*12, LoanAmt), "")</f>
        <v>1617.03775729635</v>
      </c>
      <c r="E73" s="31" t="n">
        <f aca="false">IF(B73&lt;=TermYrs*12, -PPMT(IntRate/12, B73, TermYrs*12, LoanAmt), "")</f>
        <v>691.805066806304</v>
      </c>
      <c r="F73" s="31" t="n">
        <f aca="false">IF(B73&lt;=TermYrs*12, LoanAmt-SUMIFS($E$5:E73, $B$5:B73, "&lt;="&amp;B73), "")</f>
        <v>309779.444334092</v>
      </c>
    </row>
    <row r="74" customFormat="false" ht="15" hidden="false" customHeight="false" outlineLevel="0" collapsed="false">
      <c r="B74" s="30" t="n">
        <v>70</v>
      </c>
      <c r="C74" s="31" t="n">
        <f aca="false">IF(B74&lt;=TermYrs*12, -PMT(IntRate/12, TermYrs*12, LoanAmt), "")</f>
        <v>2308.84282410265</v>
      </c>
      <c r="D74" s="31" t="n">
        <f aca="false">IF(B74&lt;=TermYrs*12, -IPMT(IntRate/12, B74, TermYrs*12, LoanAmt), "")</f>
        <v>1613.43460590673</v>
      </c>
      <c r="E74" s="31" t="n">
        <f aca="false">IF(B74&lt;=TermYrs*12, -PPMT(IntRate/12, B74, TermYrs*12, LoanAmt), "")</f>
        <v>695.408218195921</v>
      </c>
      <c r="F74" s="31" t="n">
        <f aca="false">IF(B74&lt;=TermYrs*12, LoanAmt-SUMIFS($E$5:E74, $B$5:B74, "&lt;="&amp;B74), "")</f>
        <v>309084.036115896</v>
      </c>
    </row>
    <row r="75" customFormat="false" ht="15" hidden="false" customHeight="false" outlineLevel="0" collapsed="false">
      <c r="B75" s="30" t="n">
        <v>71</v>
      </c>
      <c r="C75" s="31" t="n">
        <f aca="false">IF(B75&lt;=TermYrs*12, -PMT(IntRate/12, TermYrs*12, LoanAmt), "")</f>
        <v>2308.84282410265</v>
      </c>
      <c r="D75" s="31" t="n">
        <f aca="false">IF(B75&lt;=TermYrs*12, -IPMT(IntRate/12, B75, TermYrs*12, LoanAmt), "")</f>
        <v>1609.81268810363</v>
      </c>
      <c r="E75" s="31" t="n">
        <f aca="false">IF(B75&lt;=TermYrs*12, -PPMT(IntRate/12, B75, TermYrs*12, LoanAmt), "")</f>
        <v>699.030135999024</v>
      </c>
      <c r="F75" s="31" t="n">
        <f aca="false">IF(B75&lt;=TermYrs*12, LoanAmt-SUMIFS($E$5:E75, $B$5:B75, "&lt;="&amp;B75), "")</f>
        <v>308385.005979897</v>
      </c>
    </row>
    <row r="76" customFormat="false" ht="15" hidden="false" customHeight="false" outlineLevel="0" collapsed="false">
      <c r="B76" s="30" t="n">
        <v>72</v>
      </c>
      <c r="C76" s="31" t="n">
        <f aca="false">IF(B76&lt;=TermYrs*12, -PMT(IntRate/12, TermYrs*12, LoanAmt), "")</f>
        <v>2308.84282410265</v>
      </c>
      <c r="D76" s="31" t="n">
        <f aca="false">IF(B76&lt;=TermYrs*12, -IPMT(IntRate/12, B76, TermYrs*12, LoanAmt), "")</f>
        <v>1606.1719061453</v>
      </c>
      <c r="E76" s="31" t="n">
        <f aca="false">IF(B76&lt;=TermYrs*12, -PPMT(IntRate/12, B76, TermYrs*12, LoanAmt), "")</f>
        <v>702.670917957352</v>
      </c>
      <c r="F76" s="31" t="n">
        <f aca="false">IF(B76&lt;=TermYrs*12, LoanAmt-SUMIFS($E$5:E76, $B$5:B76, "&lt;="&amp;B76), "")</f>
        <v>307682.335061939</v>
      </c>
    </row>
    <row r="77" customFormat="false" ht="15" hidden="false" customHeight="false" outlineLevel="0" collapsed="false">
      <c r="B77" s="30" t="n">
        <v>73</v>
      </c>
      <c r="C77" s="31" t="n">
        <f aca="false">IF(B77&lt;=TermYrs*12, -PMT(IntRate/12, TermYrs*12, LoanAmt), "")</f>
        <v>2308.84282410265</v>
      </c>
      <c r="D77" s="31" t="n">
        <f aca="false">IF(B77&lt;=TermYrs*12, -IPMT(IntRate/12, B77, TermYrs*12, LoanAmt), "")</f>
        <v>1602.51216178094</v>
      </c>
      <c r="E77" s="31" t="n">
        <f aca="false">IF(B77&lt;=TermYrs*12, -PPMT(IntRate/12, B77, TermYrs*12, LoanAmt), "")</f>
        <v>706.330662321713</v>
      </c>
      <c r="F77" s="31" t="n">
        <f aca="false">IF(B77&lt;=TermYrs*12, LoanAmt-SUMIFS($E$5:E77, $B$5:B77, "&lt;="&amp;B77), "")</f>
        <v>306976.004399618</v>
      </c>
    </row>
    <row r="78" customFormat="false" ht="15" hidden="false" customHeight="false" outlineLevel="0" collapsed="false">
      <c r="B78" s="30" t="n">
        <v>74</v>
      </c>
      <c r="C78" s="31" t="n">
        <f aca="false">IF(B78&lt;=TermYrs*12, -PMT(IntRate/12, TermYrs*12, LoanAmt), "")</f>
        <v>2308.84282410265</v>
      </c>
      <c r="D78" s="31" t="n">
        <f aca="false">IF(B78&lt;=TermYrs*12, -IPMT(IntRate/12, B78, TermYrs*12, LoanAmt), "")</f>
        <v>1598.83335624801</v>
      </c>
      <c r="E78" s="31" t="n">
        <f aca="false">IF(B78&lt;=TermYrs*12, -PPMT(IntRate/12, B78, TermYrs*12, LoanAmt), "")</f>
        <v>710.009467854639</v>
      </c>
      <c r="F78" s="31" t="n">
        <f aca="false">IF(B78&lt;=TermYrs*12, LoanAmt-SUMIFS($E$5:E78, $B$5:B78, "&lt;="&amp;B78), "")</f>
        <v>306265.994931763</v>
      </c>
    </row>
    <row r="79" customFormat="false" ht="15" hidden="false" customHeight="false" outlineLevel="0" collapsed="false">
      <c r="B79" s="30" t="n">
        <v>75</v>
      </c>
      <c r="C79" s="31" t="n">
        <f aca="false">IF(B79&lt;=TermYrs*12, -PMT(IntRate/12, TermYrs*12, LoanAmt), "")</f>
        <v>2308.84282410265</v>
      </c>
      <c r="D79" s="31" t="n">
        <f aca="false">IF(B79&lt;=TermYrs*12, -IPMT(IntRate/12, B79, TermYrs*12, LoanAmt), "")</f>
        <v>1595.1353902696</v>
      </c>
      <c r="E79" s="31" t="n">
        <f aca="false">IF(B79&lt;=TermYrs*12, -PPMT(IntRate/12, B79, TermYrs*12, LoanAmt), "")</f>
        <v>713.707433833049</v>
      </c>
      <c r="F79" s="31" t="n">
        <f aca="false">IF(B79&lt;=TermYrs*12, LoanAmt-SUMIFS($E$5:E79, $B$5:B79, "&lt;="&amp;B79), "")</f>
        <v>305552.28749793</v>
      </c>
    </row>
    <row r="80" customFormat="false" ht="15" hidden="false" customHeight="false" outlineLevel="0" collapsed="false">
      <c r="B80" s="30" t="n">
        <v>76</v>
      </c>
      <c r="C80" s="31" t="n">
        <f aca="false">IF(B80&lt;=TermYrs*12, -PMT(IntRate/12, TermYrs*12, LoanAmt), "")</f>
        <v>2308.84282410265</v>
      </c>
      <c r="D80" s="31" t="n">
        <f aca="false">IF(B80&lt;=TermYrs*12, -IPMT(IntRate/12, B80, TermYrs*12, LoanAmt), "")</f>
        <v>1591.41816405172</v>
      </c>
      <c r="E80" s="31" t="n">
        <f aca="false">IF(B80&lt;=TermYrs*12, -PPMT(IntRate/12, B80, TermYrs*12, LoanAmt), "")</f>
        <v>717.424660050929</v>
      </c>
      <c r="F80" s="31" t="n">
        <f aca="false">IF(B80&lt;=TermYrs*12, LoanAmt-SUMIFS($E$5:E80, $B$5:B80, "&lt;="&amp;B80), "")</f>
        <v>304834.862837879</v>
      </c>
    </row>
    <row r="81" customFormat="false" ht="15" hidden="false" customHeight="false" outlineLevel="0" collapsed="false">
      <c r="B81" s="30" t="n">
        <v>77</v>
      </c>
      <c r="C81" s="31" t="n">
        <f aca="false">IF(B81&lt;=TermYrs*12, -PMT(IntRate/12, TermYrs*12, LoanAmt), "")</f>
        <v>2308.84282410265</v>
      </c>
      <c r="D81" s="31" t="n">
        <f aca="false">IF(B81&lt;=TermYrs*12, -IPMT(IntRate/12, B81, TermYrs*12, LoanAmt), "")</f>
        <v>1587.68157728062</v>
      </c>
      <c r="E81" s="31" t="n">
        <f aca="false">IF(B81&lt;=TermYrs*12, -PPMT(IntRate/12, B81, TermYrs*12, LoanAmt), "")</f>
        <v>721.161246822028</v>
      </c>
      <c r="F81" s="31" t="n">
        <f aca="false">IF(B81&lt;=TermYrs*12, LoanAmt-SUMIFS($E$5:E81, $B$5:B81, "&lt;="&amp;B81), "")</f>
        <v>304113.701591057</v>
      </c>
    </row>
    <row r="82" customFormat="false" ht="15" hidden="false" customHeight="false" outlineLevel="0" collapsed="false">
      <c r="B82" s="30" t="n">
        <v>78</v>
      </c>
      <c r="C82" s="31" t="n">
        <f aca="false">IF(B82&lt;=TermYrs*12, -PMT(IntRate/12, TermYrs*12, LoanAmt), "")</f>
        <v>2308.84282410265</v>
      </c>
      <c r="D82" s="31" t="n">
        <f aca="false">IF(B82&lt;=TermYrs*12, -IPMT(IntRate/12, B82, TermYrs*12, LoanAmt), "")</f>
        <v>1583.92552912009</v>
      </c>
      <c r="E82" s="31" t="n">
        <f aca="false">IF(B82&lt;=TermYrs*12, -PPMT(IntRate/12, B82, TermYrs*12, LoanAmt), "")</f>
        <v>724.917294982559</v>
      </c>
      <c r="F82" s="31" t="n">
        <f aca="false">IF(B82&lt;=TermYrs*12, LoanAmt-SUMIFS($E$5:E82, $B$5:B82, "&lt;="&amp;B82), "")</f>
        <v>303388.784296075</v>
      </c>
    </row>
    <row r="83" customFormat="false" ht="15" hidden="false" customHeight="false" outlineLevel="0" collapsed="false">
      <c r="B83" s="30" t="n">
        <v>79</v>
      </c>
      <c r="C83" s="31" t="n">
        <f aca="false">IF(B83&lt;=TermYrs*12, -PMT(IntRate/12, TermYrs*12, LoanAmt), "")</f>
        <v>2308.84282410265</v>
      </c>
      <c r="D83" s="31" t="n">
        <f aca="false">IF(B83&lt;=TermYrs*12, -IPMT(IntRate/12, B83, TermYrs*12, LoanAmt), "")</f>
        <v>1580.14991820872</v>
      </c>
      <c r="E83" s="31" t="n">
        <f aca="false">IF(B83&lt;=TermYrs*12, -PPMT(IntRate/12, B83, TermYrs*12, LoanAmt), "")</f>
        <v>728.692905893926</v>
      </c>
      <c r="F83" s="31" t="n">
        <f aca="false">IF(B83&lt;=TermYrs*12, LoanAmt-SUMIFS($E$5:E83, $B$5:B83, "&lt;="&amp;B83), "")</f>
        <v>302660.091390181</v>
      </c>
    </row>
    <row r="84" customFormat="false" ht="15" hidden="false" customHeight="false" outlineLevel="0" collapsed="false">
      <c r="B84" s="30" t="n">
        <v>80</v>
      </c>
      <c r="C84" s="31" t="n">
        <f aca="false">IF(B84&lt;=TermYrs*12, -PMT(IntRate/12, TermYrs*12, LoanAmt), "")</f>
        <v>2308.84282410265</v>
      </c>
      <c r="D84" s="31" t="n">
        <f aca="false">IF(B84&lt;=TermYrs*12, -IPMT(IntRate/12, B84, TermYrs*12, LoanAmt), "")</f>
        <v>1576.35464265719</v>
      </c>
      <c r="E84" s="31" t="n">
        <f aca="false">IF(B84&lt;=TermYrs*12, -PPMT(IntRate/12, B84, TermYrs*12, LoanAmt), "")</f>
        <v>732.488181445457</v>
      </c>
      <c r="F84" s="31" t="n">
        <f aca="false">IF(B84&lt;=TermYrs*12, LoanAmt-SUMIFS($E$5:E84, $B$5:B84, "&lt;="&amp;B84), "")</f>
        <v>301927.603208735</v>
      </c>
    </row>
    <row r="85" customFormat="false" ht="15" hidden="false" customHeight="false" outlineLevel="0" collapsed="false">
      <c r="B85" s="30" t="n">
        <v>81</v>
      </c>
      <c r="C85" s="31" t="n">
        <f aca="false">IF(B85&lt;=TermYrs*12, -PMT(IntRate/12, TermYrs*12, LoanAmt), "")</f>
        <v>2308.84282410265</v>
      </c>
      <c r="D85" s="31" t="n">
        <f aca="false">IF(B85&lt;=TermYrs*12, -IPMT(IntRate/12, B85, TermYrs*12, LoanAmt), "")</f>
        <v>1572.5396000455</v>
      </c>
      <c r="E85" s="31" t="n">
        <f aca="false">IF(B85&lt;=TermYrs*12, -PPMT(IntRate/12, B85, TermYrs*12, LoanAmt), "")</f>
        <v>736.303224057152</v>
      </c>
      <c r="F85" s="31" t="n">
        <f aca="false">IF(B85&lt;=TermYrs*12, LoanAmt-SUMIFS($E$5:E85, $B$5:B85, "&lt;="&amp;B85), "")</f>
        <v>301191.299984678</v>
      </c>
    </row>
    <row r="86" customFormat="false" ht="15" hidden="false" customHeight="false" outlineLevel="0" collapsed="false">
      <c r="B86" s="30" t="n">
        <v>82</v>
      </c>
      <c r="C86" s="31" t="n">
        <f aca="false">IF(B86&lt;=TermYrs*12, -PMT(IntRate/12, TermYrs*12, LoanAmt), "")</f>
        <v>2308.84282410265</v>
      </c>
      <c r="D86" s="31" t="n">
        <f aca="false">IF(B86&lt;=TermYrs*12, -IPMT(IntRate/12, B86, TermYrs*12, LoanAmt), "")</f>
        <v>1568.7046874202</v>
      </c>
      <c r="E86" s="31" t="n">
        <f aca="false">IF(B86&lt;=TermYrs*12, -PPMT(IntRate/12, B86, TermYrs*12, LoanAmt), "")</f>
        <v>740.13813668245</v>
      </c>
      <c r="F86" s="31" t="n">
        <f aca="false">IF(B86&lt;=TermYrs*12, LoanAmt-SUMIFS($E$5:E86, $B$5:B86, "&lt;="&amp;B86), "")</f>
        <v>300451.161847996</v>
      </c>
    </row>
    <row r="87" customFormat="false" ht="15" hidden="false" customHeight="false" outlineLevel="0" collapsed="false">
      <c r="B87" s="30" t="n">
        <v>83</v>
      </c>
      <c r="C87" s="31" t="n">
        <f aca="false">IF(B87&lt;=TermYrs*12, -PMT(IntRate/12, TermYrs*12, LoanAmt), "")</f>
        <v>2308.84282410265</v>
      </c>
      <c r="D87" s="31" t="n">
        <f aca="false">IF(B87&lt;=TermYrs*12, -IPMT(IntRate/12, B87, TermYrs*12, LoanAmt), "")</f>
        <v>1564.84980129165</v>
      </c>
      <c r="E87" s="31" t="n">
        <f aca="false">IF(B87&lt;=TermYrs*12, -PPMT(IntRate/12, B87, TermYrs*12, LoanAmt), "")</f>
        <v>743.993022811004</v>
      </c>
      <c r="F87" s="31" t="n">
        <f aca="false">IF(B87&lt;=TermYrs*12, LoanAmt-SUMIFS($E$5:E87, $B$5:B87, "&lt;="&amp;B87), "")</f>
        <v>299707.168825184</v>
      </c>
    </row>
    <row r="88" customFormat="false" ht="15" hidden="false" customHeight="false" outlineLevel="0" collapsed="false">
      <c r="B88" s="30" t="n">
        <v>84</v>
      </c>
      <c r="C88" s="31" t="n">
        <f aca="false">IF(B88&lt;=TermYrs*12, -PMT(IntRate/12, TermYrs*12, LoanAmt), "")</f>
        <v>2308.84282410265</v>
      </c>
      <c r="D88" s="31" t="n">
        <f aca="false">IF(B88&lt;=TermYrs*12, -IPMT(IntRate/12, B88, TermYrs*12, LoanAmt), "")</f>
        <v>1560.97483763117</v>
      </c>
      <c r="E88" s="31" t="n">
        <f aca="false">IF(B88&lt;=TermYrs*12, -PPMT(IntRate/12, B88, TermYrs*12, LoanAmt), "")</f>
        <v>747.867986471478</v>
      </c>
      <c r="F88" s="31" t="n">
        <f aca="false">IF(B88&lt;=TermYrs*12, LoanAmt-SUMIFS($E$5:E88, $B$5:B88, "&lt;="&amp;B88), "")</f>
        <v>298959.300838713</v>
      </c>
    </row>
    <row r="89" customFormat="false" ht="15" hidden="false" customHeight="false" outlineLevel="0" collapsed="false">
      <c r="B89" s="30" t="n">
        <v>85</v>
      </c>
      <c r="C89" s="31" t="n">
        <f aca="false">IF(B89&lt;=TermYrs*12, -PMT(IntRate/12, TermYrs*12, LoanAmt), "")</f>
        <v>2308.84282410265</v>
      </c>
      <c r="D89" s="31" t="n">
        <f aca="false">IF(B89&lt;=TermYrs*12, -IPMT(IntRate/12, B89, TermYrs*12, LoanAmt), "")</f>
        <v>1557.0796918683</v>
      </c>
      <c r="E89" s="31" t="n">
        <f aca="false">IF(B89&lt;=TermYrs*12, -PPMT(IntRate/12, B89, TermYrs*12, LoanAmt), "")</f>
        <v>751.763132234351</v>
      </c>
      <c r="F89" s="31" t="n">
        <f aca="false">IF(B89&lt;=TermYrs*12, LoanAmt-SUMIFS($E$5:E89, $B$5:B89, "&lt;="&amp;B89), "")</f>
        <v>298207.537706479</v>
      </c>
    </row>
    <row r="90" customFormat="false" ht="15" hidden="false" customHeight="false" outlineLevel="0" collapsed="false">
      <c r="B90" s="30" t="n">
        <v>86</v>
      </c>
      <c r="C90" s="31" t="n">
        <f aca="false">IF(B90&lt;=TermYrs*12, -PMT(IntRate/12, TermYrs*12, LoanAmt), "")</f>
        <v>2308.84282410265</v>
      </c>
      <c r="D90" s="31" t="n">
        <f aca="false">IF(B90&lt;=TermYrs*12, -IPMT(IntRate/12, B90, TermYrs*12, LoanAmt), "")</f>
        <v>1553.16425888791</v>
      </c>
      <c r="E90" s="31" t="n">
        <f aca="false">IF(B90&lt;=TermYrs*12, -PPMT(IntRate/12, B90, TermYrs*12, LoanAmt), "")</f>
        <v>755.678565214737</v>
      </c>
      <c r="F90" s="31" t="n">
        <f aca="false">IF(B90&lt;=TermYrs*12, LoanAmt-SUMIFS($E$5:E90, $B$5:B90, "&lt;="&amp;B90), "")</f>
        <v>297451.859141264</v>
      </c>
    </row>
    <row r="91" customFormat="false" ht="15" hidden="false" customHeight="false" outlineLevel="0" collapsed="false">
      <c r="B91" s="30" t="n">
        <v>87</v>
      </c>
      <c r="C91" s="31" t="n">
        <f aca="false">IF(B91&lt;=TermYrs*12, -PMT(IntRate/12, TermYrs*12, LoanAmt), "")</f>
        <v>2308.84282410265</v>
      </c>
      <c r="D91" s="31" t="n">
        <f aca="false">IF(B91&lt;=TermYrs*12, -IPMT(IntRate/12, B91, TermYrs*12, LoanAmt), "")</f>
        <v>1549.22843302742</v>
      </c>
      <c r="E91" s="31" t="n">
        <f aca="false">IF(B91&lt;=TermYrs*12, -PPMT(IntRate/12, B91, TermYrs*12, LoanAmt), "")</f>
        <v>759.614391075231</v>
      </c>
      <c r="F91" s="31" t="n">
        <f aca="false">IF(B91&lt;=TermYrs*12, LoanAmt-SUMIFS($E$5:E91, $B$5:B91, "&lt;="&amp;B91), "")</f>
        <v>296692.244750189</v>
      </c>
    </row>
    <row r="92" customFormat="false" ht="15" hidden="false" customHeight="false" outlineLevel="0" collapsed="false">
      <c r="B92" s="30" t="n">
        <v>88</v>
      </c>
      <c r="C92" s="31" t="n">
        <f aca="false">IF(B92&lt;=TermYrs*12, -PMT(IntRate/12, TermYrs*12, LoanAmt), "")</f>
        <v>2308.84282410265</v>
      </c>
      <c r="D92" s="31" t="n">
        <f aca="false">IF(B92&lt;=TermYrs*12, -IPMT(IntRate/12, B92, TermYrs*12, LoanAmt), "")</f>
        <v>1545.2721080739</v>
      </c>
      <c r="E92" s="31" t="n">
        <f aca="false">IF(B92&lt;=TermYrs*12, -PPMT(IntRate/12, B92, TermYrs*12, LoanAmt), "")</f>
        <v>763.570716028748</v>
      </c>
      <c r="F92" s="31" t="n">
        <f aca="false">IF(B92&lt;=TermYrs*12, LoanAmt-SUMIFS($E$5:E92, $B$5:B92, "&lt;="&amp;B92), "")</f>
        <v>295928.67403416</v>
      </c>
    </row>
    <row r="93" customFormat="false" ht="15" hidden="false" customHeight="false" outlineLevel="0" collapsed="false">
      <c r="B93" s="30" t="n">
        <v>89</v>
      </c>
      <c r="C93" s="31" t="n">
        <f aca="false">IF(B93&lt;=TermYrs*12, -PMT(IntRate/12, TermYrs*12, LoanAmt), "")</f>
        <v>2308.84282410265</v>
      </c>
      <c r="D93" s="31" t="n">
        <f aca="false">IF(B93&lt;=TermYrs*12, -IPMT(IntRate/12, B93, TermYrs*12, LoanAmt), "")</f>
        <v>1541.29517726125</v>
      </c>
      <c r="E93" s="31" t="n">
        <f aca="false">IF(B93&lt;=TermYrs*12, -PPMT(IntRate/12, B93, TermYrs*12, LoanAmt), "")</f>
        <v>767.547646841397</v>
      </c>
      <c r="F93" s="31" t="n">
        <f aca="false">IF(B93&lt;=TermYrs*12, LoanAmt-SUMIFS($E$5:E93, $B$5:B93, "&lt;="&amp;B93), "")</f>
        <v>295161.126387319</v>
      </c>
    </row>
    <row r="94" customFormat="false" ht="15" hidden="false" customHeight="false" outlineLevel="0" collapsed="false">
      <c r="B94" s="30" t="n">
        <v>90</v>
      </c>
      <c r="C94" s="31" t="n">
        <f aca="false">IF(B94&lt;=TermYrs*12, -PMT(IntRate/12, TermYrs*12, LoanAmt), "")</f>
        <v>2308.84282410265</v>
      </c>
      <c r="D94" s="31" t="n">
        <f aca="false">IF(B94&lt;=TermYrs*12, -IPMT(IntRate/12, B94, TermYrs*12, LoanAmt), "")</f>
        <v>1537.29753326729</v>
      </c>
      <c r="E94" s="31" t="n">
        <f aca="false">IF(B94&lt;=TermYrs*12, -PPMT(IntRate/12, B94, TermYrs*12, LoanAmt), "")</f>
        <v>771.545290835363</v>
      </c>
      <c r="F94" s="31" t="n">
        <f aca="false">IF(B94&lt;=TermYrs*12, LoanAmt-SUMIFS($E$5:E94, $B$5:B94, "&lt;="&amp;B94), "")</f>
        <v>294389.581096483</v>
      </c>
    </row>
    <row r="95" customFormat="false" ht="15" hidden="false" customHeight="false" outlineLevel="0" collapsed="false">
      <c r="B95" s="30" t="n">
        <v>91</v>
      </c>
      <c r="C95" s="31" t="n">
        <f aca="false">IF(B95&lt;=TermYrs*12, -PMT(IntRate/12, TermYrs*12, LoanAmt), "")</f>
        <v>2308.84282410265</v>
      </c>
      <c r="D95" s="31" t="n">
        <f aca="false">IF(B95&lt;=TermYrs*12, -IPMT(IntRate/12, B95, TermYrs*12, LoanAmt), "")</f>
        <v>1533.27906821085</v>
      </c>
      <c r="E95" s="31" t="n">
        <f aca="false">IF(B95&lt;=TermYrs*12, -PPMT(IntRate/12, B95, TermYrs*12, LoanAmt), "")</f>
        <v>775.563755891797</v>
      </c>
      <c r="F95" s="31" t="n">
        <f aca="false">IF(B95&lt;=TermYrs*12, LoanAmt-SUMIFS($E$5:E95, $B$5:B95, "&lt;="&amp;B95), "")</f>
        <v>293614.017340591</v>
      </c>
    </row>
    <row r="96" customFormat="false" ht="15" hidden="false" customHeight="false" outlineLevel="0" collapsed="false">
      <c r="B96" s="30" t="n">
        <v>92</v>
      </c>
      <c r="C96" s="31" t="n">
        <f aca="false">IF(B96&lt;=TermYrs*12, -PMT(IntRate/12, TermYrs*12, LoanAmt), "")</f>
        <v>2308.84282410265</v>
      </c>
      <c r="D96" s="31" t="n">
        <f aca="false">IF(B96&lt;=TermYrs*12, -IPMT(IntRate/12, B96, TermYrs*12, LoanAmt), "")</f>
        <v>1529.23967364892</v>
      </c>
      <c r="E96" s="31" t="n">
        <f aca="false">IF(B96&lt;=TermYrs*12, -PPMT(IntRate/12, B96, TermYrs*12, LoanAmt), "")</f>
        <v>779.603150453733</v>
      </c>
      <c r="F96" s="31" t="n">
        <f aca="false">IF(B96&lt;=TermYrs*12, LoanAmt-SUMIFS($E$5:E96, $B$5:B96, "&lt;="&amp;B96), "")</f>
        <v>292834.414190138</v>
      </c>
    </row>
    <row r="97" customFormat="false" ht="15" hidden="false" customHeight="false" outlineLevel="0" collapsed="false">
      <c r="B97" s="30" t="n">
        <v>93</v>
      </c>
      <c r="C97" s="31" t="n">
        <f aca="false">IF(B97&lt;=TermYrs*12, -PMT(IntRate/12, TermYrs*12, LoanAmt), "")</f>
        <v>2308.84282410265</v>
      </c>
      <c r="D97" s="31" t="n">
        <f aca="false">IF(B97&lt;=TermYrs*12, -IPMT(IntRate/12, B97, TermYrs*12, LoanAmt), "")</f>
        <v>1525.17924057364</v>
      </c>
      <c r="E97" s="31" t="n">
        <f aca="false">IF(B97&lt;=TermYrs*12, -PPMT(IntRate/12, B97, TermYrs*12, LoanAmt), "")</f>
        <v>783.663583529013</v>
      </c>
      <c r="F97" s="31" t="n">
        <f aca="false">IF(B97&lt;=TermYrs*12, LoanAmt-SUMIFS($E$5:E97, $B$5:B97, "&lt;="&amp;B97), "")</f>
        <v>292050.750606609</v>
      </c>
    </row>
    <row r="98" customFormat="false" ht="15" hidden="false" customHeight="false" outlineLevel="0" collapsed="false">
      <c r="B98" s="30" t="n">
        <v>94</v>
      </c>
      <c r="C98" s="31" t="n">
        <f aca="false">IF(B98&lt;=TermYrs*12, -PMT(IntRate/12, TermYrs*12, LoanAmt), "")</f>
        <v>2308.84282410265</v>
      </c>
      <c r="D98" s="31" t="n">
        <f aca="false">IF(B98&lt;=TermYrs*12, -IPMT(IntRate/12, B98, TermYrs*12, LoanAmt), "")</f>
        <v>1521.09765940942</v>
      </c>
      <c r="E98" s="31" t="n">
        <f aca="false">IF(B98&lt;=TermYrs*12, -PPMT(IntRate/12, B98, TermYrs*12, LoanAmt), "")</f>
        <v>787.745164693227</v>
      </c>
      <c r="F98" s="31" t="n">
        <f aca="false">IF(B98&lt;=TermYrs*12, LoanAmt-SUMIFS($E$5:E98, $B$5:B98, "&lt;="&amp;B98), "")</f>
        <v>291263.005441915</v>
      </c>
    </row>
    <row r="99" customFormat="false" ht="15" hidden="false" customHeight="false" outlineLevel="0" collapsed="false">
      <c r="B99" s="30" t="n">
        <v>95</v>
      </c>
      <c r="C99" s="31" t="n">
        <f aca="false">IF(B99&lt;=TermYrs*12, -PMT(IntRate/12, TermYrs*12, LoanAmt), "")</f>
        <v>2308.84282410265</v>
      </c>
      <c r="D99" s="31" t="n">
        <f aca="false">IF(B99&lt;=TermYrs*12, -IPMT(IntRate/12, B99, TermYrs*12, LoanAmt), "")</f>
        <v>1516.99482000998</v>
      </c>
      <c r="E99" s="31" t="n">
        <f aca="false">IF(B99&lt;=TermYrs*12, -PPMT(IntRate/12, B99, TermYrs*12, LoanAmt), "")</f>
        <v>791.848004092671</v>
      </c>
      <c r="F99" s="31" t="n">
        <f aca="false">IF(B99&lt;=TermYrs*12, LoanAmt-SUMIFS($E$5:E99, $B$5:B99, "&lt;="&amp;B99), "")</f>
        <v>290471.157437823</v>
      </c>
    </row>
    <row r="100" customFormat="false" ht="15" hidden="false" customHeight="false" outlineLevel="0" collapsed="false">
      <c r="B100" s="30" t="n">
        <v>96</v>
      </c>
      <c r="C100" s="31" t="n">
        <f aca="false">IF(B100&lt;=TermYrs*12, -PMT(IntRate/12, TermYrs*12, LoanAmt), "")</f>
        <v>2308.84282410265</v>
      </c>
      <c r="D100" s="31" t="n">
        <f aca="false">IF(B100&lt;=TermYrs*12, -IPMT(IntRate/12, B100, TermYrs*12, LoanAmt), "")</f>
        <v>1512.87061165533</v>
      </c>
      <c r="E100" s="31" t="n">
        <f aca="false">IF(B100&lt;=TermYrs*12, -PPMT(IntRate/12, B100, TermYrs*12, LoanAmt), "")</f>
        <v>795.97221244732</v>
      </c>
      <c r="F100" s="31" t="n">
        <f aca="false">IF(B100&lt;=TermYrs*12, LoanAmt-SUMIFS($E$5:E100, $B$5:B100, "&lt;="&amp;B100), "")</f>
        <v>289675.185225375</v>
      </c>
    </row>
    <row r="101" customFormat="false" ht="15" hidden="false" customHeight="false" outlineLevel="0" collapsed="false">
      <c r="B101" s="30" t="n">
        <v>97</v>
      </c>
      <c r="C101" s="31" t="n">
        <f aca="false">IF(B101&lt;=TermYrs*12, -PMT(IntRate/12, TermYrs*12, LoanAmt), "")</f>
        <v>2308.84282410265</v>
      </c>
      <c r="D101" s="31" t="n">
        <f aca="false">IF(B101&lt;=TermYrs*12, -IPMT(IntRate/12, B101, TermYrs*12, LoanAmt), "")</f>
        <v>1508.72492304883</v>
      </c>
      <c r="E101" s="31" t="n">
        <f aca="false">IF(B101&lt;=TermYrs*12, -PPMT(IntRate/12, B101, TermYrs*12, LoanAmt), "")</f>
        <v>800.117901053816</v>
      </c>
      <c r="F101" s="31" t="n">
        <f aca="false">IF(B101&lt;=TermYrs*12, LoanAmt-SUMIFS($E$5:E101, $B$5:B101, "&lt;="&amp;B101), "")</f>
        <v>288875.067324322</v>
      </c>
    </row>
    <row r="102" customFormat="false" ht="15" hidden="false" customHeight="false" outlineLevel="0" collapsed="false">
      <c r="B102" s="30" t="n">
        <v>98</v>
      </c>
      <c r="C102" s="31" t="n">
        <f aca="false">IF(B102&lt;=TermYrs*12, -PMT(IntRate/12, TermYrs*12, LoanAmt), "")</f>
        <v>2308.84282410265</v>
      </c>
      <c r="D102" s="31" t="n">
        <f aca="false">IF(B102&lt;=TermYrs*12, -IPMT(IntRate/12, B102, TermYrs*12, LoanAmt), "")</f>
        <v>1504.55764231418</v>
      </c>
      <c r="E102" s="31" t="n">
        <f aca="false">IF(B102&lt;=TermYrs*12, -PPMT(IntRate/12, B102, TermYrs*12, LoanAmt), "")</f>
        <v>804.285181788471</v>
      </c>
      <c r="F102" s="31" t="n">
        <f aca="false">IF(B102&lt;=TermYrs*12, LoanAmt-SUMIFS($E$5:E102, $B$5:B102, "&lt;="&amp;B102), "")</f>
        <v>288070.782142533</v>
      </c>
    </row>
    <row r="103" customFormat="false" ht="15" hidden="false" customHeight="false" outlineLevel="0" collapsed="false">
      <c r="B103" s="30" t="n">
        <v>99</v>
      </c>
      <c r="C103" s="31" t="n">
        <f aca="false">IF(B103&lt;=TermYrs*12, -PMT(IntRate/12, TermYrs*12, LoanAmt), "")</f>
        <v>2308.84282410265</v>
      </c>
      <c r="D103" s="31" t="n">
        <f aca="false">IF(B103&lt;=TermYrs*12, -IPMT(IntRate/12, B103, TermYrs*12, LoanAmt), "")</f>
        <v>1500.36865699236</v>
      </c>
      <c r="E103" s="31" t="n">
        <f aca="false">IF(B103&lt;=TermYrs*12, -PPMT(IntRate/12, B103, TermYrs*12, LoanAmt), "")</f>
        <v>808.474167110287</v>
      </c>
      <c r="F103" s="31" t="n">
        <f aca="false">IF(B103&lt;=TermYrs*12, LoanAmt-SUMIFS($E$5:E103, $B$5:B103, "&lt;="&amp;B103), "")</f>
        <v>287262.307975423</v>
      </c>
    </row>
    <row r="104" customFormat="false" ht="15" hidden="false" customHeight="false" outlineLevel="0" collapsed="false">
      <c r="B104" s="30" t="n">
        <v>100</v>
      </c>
      <c r="C104" s="31" t="n">
        <f aca="false">IF(B104&lt;=TermYrs*12, -PMT(IntRate/12, TermYrs*12, LoanAmt), "")</f>
        <v>2308.84282410265</v>
      </c>
      <c r="D104" s="31" t="n">
        <f aca="false">IF(B104&lt;=TermYrs*12, -IPMT(IntRate/12, B104, TermYrs*12, LoanAmt), "")</f>
        <v>1496.15785403866</v>
      </c>
      <c r="E104" s="31" t="n">
        <f aca="false">IF(B104&lt;=TermYrs*12, -PPMT(IntRate/12, B104, TermYrs*12, LoanAmt), "")</f>
        <v>812.684970063986</v>
      </c>
      <c r="F104" s="31" t="n">
        <f aca="false">IF(B104&lt;=TermYrs*12, LoanAmt-SUMIFS($E$5:E104, $B$5:B104, "&lt;="&amp;B104), "")</f>
        <v>286449.623005359</v>
      </c>
    </row>
    <row r="105" customFormat="false" ht="15" hidden="false" customHeight="false" outlineLevel="0" collapsed="false">
      <c r="B105" s="30" t="n">
        <v>101</v>
      </c>
      <c r="C105" s="31" t="n">
        <f aca="false">IF(B105&lt;=TermYrs*12, -PMT(IntRate/12, TermYrs*12, LoanAmt), "")</f>
        <v>2308.84282410265</v>
      </c>
      <c r="D105" s="31" t="n">
        <f aca="false">IF(B105&lt;=TermYrs*12, -IPMT(IntRate/12, B105, TermYrs*12, LoanAmt), "")</f>
        <v>1491.92511981958</v>
      </c>
      <c r="E105" s="31" t="n">
        <f aca="false">IF(B105&lt;=TermYrs*12, -PPMT(IntRate/12, B105, TermYrs*12, LoanAmt), "")</f>
        <v>816.917704283069</v>
      </c>
      <c r="F105" s="31" t="n">
        <f aca="false">IF(B105&lt;=TermYrs*12, LoanAmt-SUMIFS($E$5:E105, $B$5:B105, "&lt;="&amp;B105), "")</f>
        <v>285632.705301076</v>
      </c>
    </row>
    <row r="106" customFormat="false" ht="15" hidden="false" customHeight="false" outlineLevel="0" collapsed="false">
      <c r="B106" s="30" t="n">
        <v>102</v>
      </c>
      <c r="C106" s="31" t="n">
        <f aca="false">IF(B106&lt;=TermYrs*12, -PMT(IntRate/12, TermYrs*12, LoanAmt), "")</f>
        <v>2308.84282410265</v>
      </c>
      <c r="D106" s="31" t="n">
        <f aca="false">IF(B106&lt;=TermYrs*12, -IPMT(IntRate/12, B106, TermYrs*12, LoanAmt), "")</f>
        <v>1487.67034010977</v>
      </c>
      <c r="E106" s="31" t="n">
        <f aca="false">IF(B106&lt;=TermYrs*12, -PPMT(IntRate/12, B106, TermYrs*12, LoanAmt), "")</f>
        <v>821.172483992877</v>
      </c>
      <c r="F106" s="31" t="n">
        <f aca="false">IF(B106&lt;=TermYrs*12, LoanAmt-SUMIFS($E$5:E106, $B$5:B106, "&lt;="&amp;B106), "")</f>
        <v>284811.532817083</v>
      </c>
    </row>
    <row r="107" customFormat="false" ht="15" hidden="false" customHeight="false" outlineLevel="0" collapsed="false">
      <c r="B107" s="30" t="n">
        <v>103</v>
      </c>
      <c r="C107" s="31" t="n">
        <f aca="false">IF(B107&lt;=TermYrs*12, -PMT(IntRate/12, TermYrs*12, LoanAmt), "")</f>
        <v>2308.84282410265</v>
      </c>
      <c r="D107" s="31" t="n">
        <f aca="false">IF(B107&lt;=TermYrs*12, -IPMT(IntRate/12, B107, TermYrs*12, LoanAmt), "")</f>
        <v>1483.39340008898</v>
      </c>
      <c r="E107" s="31" t="n">
        <f aca="false">IF(B107&lt;=TermYrs*12, -PPMT(IntRate/12, B107, TermYrs*12, LoanAmt), "")</f>
        <v>825.449424013673</v>
      </c>
      <c r="F107" s="31" t="n">
        <f aca="false">IF(B107&lt;=TermYrs*12, LoanAmt-SUMIFS($E$5:E107, $B$5:B107, "&lt;="&amp;B107), "")</f>
        <v>283986.083393069</v>
      </c>
    </row>
    <row r="108" customFormat="false" ht="15" hidden="false" customHeight="false" outlineLevel="0" collapsed="false">
      <c r="B108" s="30" t="n">
        <v>104</v>
      </c>
      <c r="C108" s="31" t="n">
        <f aca="false">IF(B108&lt;=TermYrs*12, -PMT(IntRate/12, TermYrs*12, LoanAmt), "")</f>
        <v>2308.84282410265</v>
      </c>
      <c r="D108" s="31" t="n">
        <f aca="false">IF(B108&lt;=TermYrs*12, -IPMT(IntRate/12, B108, TermYrs*12, LoanAmt), "")</f>
        <v>1479.09418433891</v>
      </c>
      <c r="E108" s="31" t="n">
        <f aca="false">IF(B108&lt;=TermYrs*12, -PPMT(IntRate/12, B108, TermYrs*12, LoanAmt), "")</f>
        <v>829.748639763744</v>
      </c>
      <c r="F108" s="31" t="n">
        <f aca="false">IF(B108&lt;=TermYrs*12, LoanAmt-SUMIFS($E$5:E108, $B$5:B108, "&lt;="&amp;B108), "")</f>
        <v>283156.334753306</v>
      </c>
    </row>
    <row r="109" customFormat="false" ht="15" hidden="false" customHeight="false" outlineLevel="0" collapsed="false">
      <c r="B109" s="30" t="n">
        <v>105</v>
      </c>
      <c r="C109" s="31" t="n">
        <f aca="false">IF(B109&lt;=TermYrs*12, -PMT(IntRate/12, TermYrs*12, LoanAmt), "")</f>
        <v>2308.84282410265</v>
      </c>
      <c r="D109" s="31" t="n">
        <f aca="false">IF(B109&lt;=TermYrs*12, -IPMT(IntRate/12, B109, TermYrs*12, LoanAmt), "")</f>
        <v>1474.77257684014</v>
      </c>
      <c r="E109" s="31" t="n">
        <f aca="false">IF(B109&lt;=TermYrs*12, -PPMT(IntRate/12, B109, TermYrs*12, LoanAmt), "")</f>
        <v>834.070247262514</v>
      </c>
      <c r="F109" s="31" t="n">
        <f aca="false">IF(B109&lt;=TermYrs*12, LoanAmt-SUMIFS($E$5:E109, $B$5:B109, "&lt;="&amp;B109), "")</f>
        <v>282322.264506043</v>
      </c>
    </row>
    <row r="110" customFormat="false" ht="15" hidden="false" customHeight="false" outlineLevel="0" collapsed="false">
      <c r="B110" s="30" t="n">
        <v>106</v>
      </c>
      <c r="C110" s="31" t="n">
        <f aca="false">IF(B110&lt;=TermYrs*12, -PMT(IntRate/12, TermYrs*12, LoanAmt), "")</f>
        <v>2308.84282410265</v>
      </c>
      <c r="D110" s="31" t="n">
        <f aca="false">IF(B110&lt;=TermYrs*12, -IPMT(IntRate/12, B110, TermYrs*12, LoanAmt), "")</f>
        <v>1470.42846096898</v>
      </c>
      <c r="E110" s="31" t="n">
        <f aca="false">IF(B110&lt;=TermYrs*12, -PPMT(IntRate/12, B110, TermYrs*12, LoanAmt), "")</f>
        <v>838.414363133672</v>
      </c>
      <c r="F110" s="31" t="n">
        <f aca="false">IF(B110&lt;=TermYrs*12, LoanAmt-SUMIFS($E$5:E110, $B$5:B110, "&lt;="&amp;B110), "")</f>
        <v>281483.850142909</v>
      </c>
    </row>
    <row r="111" customFormat="false" ht="15" hidden="false" customHeight="false" outlineLevel="0" collapsed="false">
      <c r="B111" s="30" t="n">
        <v>107</v>
      </c>
      <c r="C111" s="31" t="n">
        <f aca="false">IF(B111&lt;=TermYrs*12, -PMT(IntRate/12, TermYrs*12, LoanAmt), "")</f>
        <v>2308.84282410265</v>
      </c>
      <c r="D111" s="31" t="n">
        <f aca="false">IF(B111&lt;=TermYrs*12, -IPMT(IntRate/12, B111, TermYrs*12, LoanAmt), "")</f>
        <v>1466.06171949432</v>
      </c>
      <c r="E111" s="31" t="n">
        <f aca="false">IF(B111&lt;=TermYrs*12, -PPMT(IntRate/12, B111, TermYrs*12, LoanAmt), "")</f>
        <v>842.781104608327</v>
      </c>
      <c r="F111" s="31" t="n">
        <f aca="false">IF(B111&lt;=TermYrs*12, LoanAmt-SUMIFS($E$5:E111, $B$5:B111, "&lt;="&amp;B111), "")</f>
        <v>280641.069038301</v>
      </c>
    </row>
    <row r="112" customFormat="false" ht="15" hidden="false" customHeight="false" outlineLevel="0" collapsed="false">
      <c r="B112" s="30" t="n">
        <v>108</v>
      </c>
      <c r="C112" s="31" t="n">
        <f aca="false">IF(B112&lt;=TermYrs*12, -PMT(IntRate/12, TermYrs*12, LoanAmt), "")</f>
        <v>2308.84282410265</v>
      </c>
      <c r="D112" s="31" t="n">
        <f aca="false">IF(B112&lt;=TermYrs*12, -IPMT(IntRate/12, B112, TermYrs*12, LoanAmt), "")</f>
        <v>1461.67223457449</v>
      </c>
      <c r="E112" s="31" t="n">
        <f aca="false">IF(B112&lt;=TermYrs*12, -PPMT(IntRate/12, B112, TermYrs*12, LoanAmt), "")</f>
        <v>847.170589528162</v>
      </c>
      <c r="F112" s="31" t="n">
        <f aca="false">IF(B112&lt;=TermYrs*12, LoanAmt-SUMIFS($E$5:E112, $B$5:B112, "&lt;="&amp;B112), "")</f>
        <v>279793.898448773</v>
      </c>
    </row>
    <row r="113" customFormat="false" ht="15" hidden="false" customHeight="false" outlineLevel="0" collapsed="false">
      <c r="B113" s="30" t="n">
        <v>109</v>
      </c>
      <c r="C113" s="31" t="n">
        <f aca="false">IF(B113&lt;=TermYrs*12, -PMT(IntRate/12, TermYrs*12, LoanAmt), "")</f>
        <v>2308.84282410265</v>
      </c>
      <c r="D113" s="31" t="n">
        <f aca="false">IF(B113&lt;=TermYrs*12, -IPMT(IntRate/12, B113, TermYrs*12, LoanAmt), "")</f>
        <v>1457.25988775403</v>
      </c>
      <c r="E113" s="31" t="n">
        <f aca="false">IF(B113&lt;=TermYrs*12, -PPMT(IntRate/12, B113, TermYrs*12, LoanAmt), "")</f>
        <v>851.582936348621</v>
      </c>
      <c r="F113" s="31" t="n">
        <f aca="false">IF(B113&lt;=TermYrs*12, LoanAmt-SUMIFS($E$5:E113, $B$5:B113, "&lt;="&amp;B113), "")</f>
        <v>278942.315512424</v>
      </c>
    </row>
    <row r="114" customFormat="false" ht="15" hidden="false" customHeight="false" outlineLevel="0" collapsed="false">
      <c r="B114" s="30" t="n">
        <v>110</v>
      </c>
      <c r="C114" s="31" t="n">
        <f aca="false">IF(B114&lt;=TermYrs*12, -PMT(IntRate/12, TermYrs*12, LoanAmt), "")</f>
        <v>2308.84282410265</v>
      </c>
      <c r="D114" s="31" t="n">
        <f aca="false">IF(B114&lt;=TermYrs*12, -IPMT(IntRate/12, B114, TermYrs*12, LoanAmt), "")</f>
        <v>1452.82455996055</v>
      </c>
      <c r="E114" s="31" t="n">
        <f aca="false">IF(B114&lt;=TermYrs*12, -PPMT(IntRate/12, B114, TermYrs*12, LoanAmt), "")</f>
        <v>856.018264142103</v>
      </c>
      <c r="F114" s="31" t="n">
        <f aca="false">IF(B114&lt;=TermYrs*12, LoanAmt-SUMIFS($E$5:E114, $B$5:B114, "&lt;="&amp;B114), "")</f>
        <v>278086.297248282</v>
      </c>
    </row>
    <row r="115" customFormat="false" ht="15" hidden="false" customHeight="false" outlineLevel="0" collapsed="false">
      <c r="B115" s="30" t="n">
        <v>111</v>
      </c>
      <c r="C115" s="31" t="n">
        <f aca="false">IF(B115&lt;=TermYrs*12, -PMT(IntRate/12, TermYrs*12, LoanAmt), "")</f>
        <v>2308.84282410265</v>
      </c>
      <c r="D115" s="31" t="n">
        <f aca="false">IF(B115&lt;=TermYrs*12, -IPMT(IntRate/12, B115, TermYrs*12, LoanAmt), "")</f>
        <v>1448.36613150147</v>
      </c>
      <c r="E115" s="31" t="n">
        <f aca="false">IF(B115&lt;=TermYrs*12, -PPMT(IntRate/12, B115, TermYrs*12, LoanAmt), "")</f>
        <v>860.476692601177</v>
      </c>
      <c r="F115" s="31" t="n">
        <f aca="false">IF(B115&lt;=TermYrs*12, LoanAmt-SUMIFS($E$5:E115, $B$5:B115, "&lt;="&amp;B115), "")</f>
        <v>277225.820555681</v>
      </c>
    </row>
    <row r="116" customFormat="false" ht="15" hidden="false" customHeight="false" outlineLevel="0" collapsed="false">
      <c r="B116" s="30" t="n">
        <v>112</v>
      </c>
      <c r="C116" s="31" t="n">
        <f aca="false">IF(B116&lt;=TermYrs*12, -PMT(IntRate/12, TermYrs*12, LoanAmt), "")</f>
        <v>2308.84282410265</v>
      </c>
      <c r="D116" s="31" t="n">
        <f aca="false">IF(B116&lt;=TermYrs*12, -IPMT(IntRate/12, B116, TermYrs*12, LoanAmt), "")</f>
        <v>1443.88448206084</v>
      </c>
      <c r="E116" s="31" t="n">
        <f aca="false">IF(B116&lt;=TermYrs*12, -PPMT(IntRate/12, B116, TermYrs*12, LoanAmt), "")</f>
        <v>864.958342041808</v>
      </c>
      <c r="F116" s="31" t="n">
        <f aca="false">IF(B116&lt;=TermYrs*12, LoanAmt-SUMIFS($E$5:E116, $B$5:B116, "&lt;="&amp;B116), "")</f>
        <v>276360.862213639</v>
      </c>
    </row>
    <row r="117" customFormat="false" ht="15" hidden="false" customHeight="false" outlineLevel="0" collapsed="false">
      <c r="B117" s="30" t="n">
        <v>113</v>
      </c>
      <c r="C117" s="31" t="n">
        <f aca="false">IF(B117&lt;=TermYrs*12, -PMT(IntRate/12, TermYrs*12, LoanAmt), "")</f>
        <v>2308.84282410265</v>
      </c>
      <c r="D117" s="31" t="n">
        <f aca="false">IF(B117&lt;=TermYrs*12, -IPMT(IntRate/12, B117, TermYrs*12, LoanAmt), "")</f>
        <v>1439.37949069604</v>
      </c>
      <c r="E117" s="31" t="n">
        <f aca="false">IF(B117&lt;=TermYrs*12, -PPMT(IntRate/12, B117, TermYrs*12, LoanAmt), "")</f>
        <v>869.463333406608</v>
      </c>
      <c r="F117" s="31" t="n">
        <f aca="false">IF(B117&lt;=TermYrs*12, LoanAmt-SUMIFS($E$5:E117, $B$5:B117, "&lt;="&amp;B117), "")</f>
        <v>275491.398880233</v>
      </c>
    </row>
    <row r="118" customFormat="false" ht="15" hidden="false" customHeight="false" outlineLevel="0" collapsed="false">
      <c r="B118" s="30" t="n">
        <v>114</v>
      </c>
      <c r="C118" s="31" t="n">
        <f aca="false">IF(B118&lt;=TermYrs*12, -PMT(IntRate/12, TermYrs*12, LoanAmt), "")</f>
        <v>2308.84282410265</v>
      </c>
      <c r="D118" s="31" t="n">
        <f aca="false">IF(B118&lt;=TermYrs*12, -IPMT(IntRate/12, B118, TermYrs*12, LoanAmt), "")</f>
        <v>1434.85103583455</v>
      </c>
      <c r="E118" s="31" t="n">
        <f aca="false">IF(B118&lt;=TermYrs*12, -PPMT(IntRate/12, B118, TermYrs*12, LoanAmt), "")</f>
        <v>873.991788268101</v>
      </c>
      <c r="F118" s="31" t="n">
        <f aca="false">IF(B118&lt;=TermYrs*12, LoanAmt-SUMIFS($E$5:E118, $B$5:B118, "&lt;="&amp;B118), "")</f>
        <v>274617.407091964</v>
      </c>
    </row>
    <row r="119" customFormat="false" ht="15" hidden="false" customHeight="false" outlineLevel="0" collapsed="false">
      <c r="B119" s="30" t="n">
        <v>115</v>
      </c>
      <c r="C119" s="31" t="n">
        <f aca="false">IF(B119&lt;=TermYrs*12, -PMT(IntRate/12, TermYrs*12, LoanAmt), "")</f>
        <v>2308.84282410265</v>
      </c>
      <c r="D119" s="31" t="n">
        <f aca="false">IF(B119&lt;=TermYrs*12, -IPMT(IntRate/12, B119, TermYrs*12, LoanAmt), "")</f>
        <v>1430.29899527065</v>
      </c>
      <c r="E119" s="31" t="n">
        <f aca="false">IF(B119&lt;=TermYrs*12, -PPMT(IntRate/12, B119, TermYrs*12, LoanAmt), "")</f>
        <v>878.543828831998</v>
      </c>
      <c r="F119" s="31" t="n">
        <f aca="false">IF(B119&lt;=TermYrs*12, LoanAmt-SUMIFS($E$5:E119, $B$5:B119, "&lt;="&amp;B119), "")</f>
        <v>273738.863263132</v>
      </c>
    </row>
    <row r="120" customFormat="false" ht="15" hidden="false" customHeight="false" outlineLevel="0" collapsed="false">
      <c r="B120" s="30" t="n">
        <v>116</v>
      </c>
      <c r="C120" s="31" t="n">
        <f aca="false">IF(B120&lt;=TermYrs*12, -PMT(IntRate/12, TermYrs*12, LoanAmt), "")</f>
        <v>2308.84282410265</v>
      </c>
      <c r="D120" s="31" t="n">
        <f aca="false">IF(B120&lt;=TermYrs*12, -IPMT(IntRate/12, B120, TermYrs*12, LoanAmt), "")</f>
        <v>1425.72324616215</v>
      </c>
      <c r="E120" s="31" t="n">
        <f aca="false">IF(B120&lt;=TermYrs*12, -PPMT(IntRate/12, B120, TermYrs*12, LoanAmt), "")</f>
        <v>883.119577940497</v>
      </c>
      <c r="F120" s="31" t="n">
        <f aca="false">IF(B120&lt;=TermYrs*12, LoanAmt-SUMIFS($E$5:E120, $B$5:B120, "&lt;="&amp;B120), "")</f>
        <v>272855.743685192</v>
      </c>
    </row>
    <row r="121" customFormat="false" ht="15" hidden="false" customHeight="false" outlineLevel="0" collapsed="false">
      <c r="B121" s="30" t="n">
        <v>117</v>
      </c>
      <c r="C121" s="31" t="n">
        <f aca="false">IF(B121&lt;=TermYrs*12, -PMT(IntRate/12, TermYrs*12, LoanAmt), "")</f>
        <v>2308.84282410265</v>
      </c>
      <c r="D121" s="31" t="n">
        <f aca="false">IF(B121&lt;=TermYrs*12, -IPMT(IntRate/12, B121, TermYrs*12, LoanAmt), "")</f>
        <v>1421.12366502705</v>
      </c>
      <c r="E121" s="31" t="n">
        <f aca="false">IF(B121&lt;=TermYrs*12, -PPMT(IntRate/12, B121, TermYrs*12, LoanAmt), "")</f>
        <v>887.719159075604</v>
      </c>
      <c r="F121" s="31" t="n">
        <f aca="false">IF(B121&lt;=TermYrs*12, LoanAmt-SUMIFS($E$5:E121, $B$5:B121, "&lt;="&amp;B121), "")</f>
        <v>271968.024526116</v>
      </c>
    </row>
    <row r="122" customFormat="false" ht="15" hidden="false" customHeight="false" outlineLevel="0" collapsed="false">
      <c r="B122" s="30" t="n">
        <v>118</v>
      </c>
      <c r="C122" s="31" t="n">
        <f aca="false">IF(B122&lt;=TermYrs*12, -PMT(IntRate/12, TermYrs*12, LoanAmt), "")</f>
        <v>2308.84282410265</v>
      </c>
      <c r="D122" s="31" t="n">
        <f aca="false">IF(B122&lt;=TermYrs*12, -IPMT(IntRate/12, B122, TermYrs*12, LoanAmt), "")</f>
        <v>1416.50012774019</v>
      </c>
      <c r="E122" s="31" t="n">
        <f aca="false">IF(B122&lt;=TermYrs*12, -PPMT(IntRate/12, B122, TermYrs*12, LoanAmt), "")</f>
        <v>892.342696362456</v>
      </c>
      <c r="F122" s="31" t="n">
        <f aca="false">IF(B122&lt;=TermYrs*12, LoanAmt-SUMIFS($E$5:E122, $B$5:B122, "&lt;="&amp;B122), "")</f>
        <v>271075.681829754</v>
      </c>
    </row>
    <row r="123" customFormat="false" ht="15" hidden="false" customHeight="false" outlineLevel="0" collapsed="false">
      <c r="B123" s="30" t="n">
        <v>119</v>
      </c>
      <c r="C123" s="31" t="n">
        <f aca="false">IF(B123&lt;=TermYrs*12, -PMT(IntRate/12, TermYrs*12, LoanAmt), "")</f>
        <v>2308.84282410265</v>
      </c>
      <c r="D123" s="31" t="n">
        <f aca="false">IF(B123&lt;=TermYrs*12, -IPMT(IntRate/12, B123, TermYrs*12, LoanAmt), "")</f>
        <v>1411.85250952997</v>
      </c>
      <c r="E123" s="31" t="n">
        <f aca="false">IF(B123&lt;=TermYrs*12, -PPMT(IntRate/12, B123, TermYrs*12, LoanAmt), "")</f>
        <v>896.990314572677</v>
      </c>
      <c r="F123" s="31" t="n">
        <f aca="false">IF(B123&lt;=TermYrs*12, LoanAmt-SUMIFS($E$5:E123, $B$5:B123, "&lt;="&amp;B123), "")</f>
        <v>270178.691515181</v>
      </c>
    </row>
    <row r="124" customFormat="false" ht="15" hidden="false" customHeight="false" outlineLevel="0" collapsed="false">
      <c r="B124" s="30" t="n">
        <v>120</v>
      </c>
      <c r="C124" s="31" t="n">
        <f aca="false">IF(B124&lt;=TermYrs*12, -PMT(IntRate/12, TermYrs*12, LoanAmt), "")</f>
        <v>2308.84282410265</v>
      </c>
      <c r="D124" s="31" t="n">
        <f aca="false">IF(B124&lt;=TermYrs*12, -IPMT(IntRate/12, B124, TermYrs*12, LoanAmt), "")</f>
        <v>1407.18068497491</v>
      </c>
      <c r="E124" s="31" t="n">
        <f aca="false">IF(B124&lt;=TermYrs*12, -PPMT(IntRate/12, B124, TermYrs*12, LoanAmt), "")</f>
        <v>901.662139127743</v>
      </c>
      <c r="F124" s="31" t="n">
        <f aca="false">IF(B124&lt;=TermYrs*12, LoanAmt-SUMIFS($E$5:E124, $B$5:B124, "&lt;="&amp;B124), "")</f>
        <v>269277.029376053</v>
      </c>
    </row>
    <row r="125" customFormat="false" ht="15" hidden="false" customHeight="false" outlineLevel="0" collapsed="false">
      <c r="B125" s="30" t="n">
        <v>121</v>
      </c>
      <c r="C125" s="31" t="n">
        <f aca="false">IF(B125&lt;=TermYrs*12, -PMT(IntRate/12, TermYrs*12, LoanAmt), "")</f>
        <v>2308.84282410265</v>
      </c>
      <c r="D125" s="31" t="n">
        <f aca="false">IF(B125&lt;=TermYrs*12, -IPMT(IntRate/12, B125, TermYrs*12, LoanAmt), "")</f>
        <v>1402.48452800028</v>
      </c>
      <c r="E125" s="31" t="n">
        <f aca="false">IF(B125&lt;=TermYrs*12, -PPMT(IntRate/12, B125, TermYrs*12, LoanAmt), "")</f>
        <v>906.358296102367</v>
      </c>
      <c r="F125" s="31" t="n">
        <f aca="false">IF(B125&lt;=TermYrs*12, LoanAmt-SUMIFS($E$5:E125, $B$5:B125, "&lt;="&amp;B125), "")</f>
        <v>268370.671079951</v>
      </c>
    </row>
    <row r="126" customFormat="false" ht="15" hidden="false" customHeight="false" outlineLevel="0" collapsed="false">
      <c r="B126" s="30" t="n">
        <v>122</v>
      </c>
      <c r="C126" s="31" t="n">
        <f aca="false">IF(B126&lt;=TermYrs*12, -PMT(IntRate/12, TermYrs*12, LoanAmt), "")</f>
        <v>2308.84282410265</v>
      </c>
      <c r="D126" s="31" t="n">
        <f aca="false">IF(B126&lt;=TermYrs*12, -IPMT(IntRate/12, B126, TermYrs*12, LoanAmt), "")</f>
        <v>1397.76391187475</v>
      </c>
      <c r="E126" s="31" t="n">
        <f aca="false">IF(B126&lt;=TermYrs*12, -PPMT(IntRate/12, B126, TermYrs*12, LoanAmt), "")</f>
        <v>911.0789122279</v>
      </c>
      <c r="F126" s="31" t="n">
        <f aca="false">IF(B126&lt;=TermYrs*12, LoanAmt-SUMIFS($E$5:E126, $B$5:B126, "&lt;="&amp;B126), "")</f>
        <v>267459.592167723</v>
      </c>
    </row>
    <row r="127" customFormat="false" ht="15" hidden="false" customHeight="false" outlineLevel="0" collapsed="false">
      <c r="B127" s="30" t="n">
        <v>123</v>
      </c>
      <c r="C127" s="31" t="n">
        <f aca="false">IF(B127&lt;=TermYrs*12, -PMT(IntRate/12, TermYrs*12, LoanAmt), "")</f>
        <v>2308.84282410265</v>
      </c>
      <c r="D127" s="31" t="n">
        <f aca="false">IF(B127&lt;=TermYrs*12, -IPMT(IntRate/12, B127, TermYrs*12, LoanAmt), "")</f>
        <v>1393.0187092069</v>
      </c>
      <c r="E127" s="31" t="n">
        <f aca="false">IF(B127&lt;=TermYrs*12, -PPMT(IntRate/12, B127, TermYrs*12, LoanAmt), "")</f>
        <v>915.824114895753</v>
      </c>
      <c r="F127" s="31" t="n">
        <f aca="false">IF(B127&lt;=TermYrs*12, LoanAmt-SUMIFS($E$5:E127, $B$5:B127, "&lt;="&amp;B127), "")</f>
        <v>266543.768052827</v>
      </c>
    </row>
    <row r="128" customFormat="false" ht="15" hidden="false" customHeight="false" outlineLevel="0" collapsed="false">
      <c r="B128" s="30" t="n">
        <v>124</v>
      </c>
      <c r="C128" s="31" t="n">
        <f aca="false">IF(B128&lt;=TermYrs*12, -PMT(IntRate/12, TermYrs*12, LoanAmt), "")</f>
        <v>2308.84282410265</v>
      </c>
      <c r="D128" s="31" t="n">
        <f aca="false">IF(B128&lt;=TermYrs*12, -IPMT(IntRate/12, B128, TermYrs*12, LoanAmt), "")</f>
        <v>1388.24879194182</v>
      </c>
      <c r="E128" s="31" t="n">
        <f aca="false">IF(B128&lt;=TermYrs*12, -PPMT(IntRate/12, B128, TermYrs*12, LoanAmt), "")</f>
        <v>920.594032160835</v>
      </c>
      <c r="F128" s="31" t="n">
        <f aca="false">IF(B128&lt;=TermYrs*12, LoanAmt-SUMIFS($E$5:E128, $B$5:B128, "&lt;="&amp;B128), "")</f>
        <v>265623.174020667</v>
      </c>
    </row>
    <row r="129" customFormat="false" ht="15" hidden="false" customHeight="false" outlineLevel="0" collapsed="false">
      <c r="B129" s="30" t="n">
        <v>125</v>
      </c>
      <c r="C129" s="31" t="n">
        <f aca="false">IF(B129&lt;=TermYrs*12, -PMT(IntRate/12, TermYrs*12, LoanAmt), "")</f>
        <v>2308.84282410265</v>
      </c>
      <c r="D129" s="31" t="n">
        <f aca="false">IF(B129&lt;=TermYrs*12, -IPMT(IntRate/12, B129, TermYrs*12, LoanAmt), "")</f>
        <v>1383.45403135764</v>
      </c>
      <c r="E129" s="31" t="n">
        <f aca="false">IF(B129&lt;=TermYrs*12, -PPMT(IntRate/12, B129, TermYrs*12, LoanAmt), "")</f>
        <v>925.388792745006</v>
      </c>
      <c r="F129" s="31" t="n">
        <f aca="false">IF(B129&lt;=TermYrs*12, LoanAmt-SUMIFS($E$5:E129, $B$5:B129, "&lt;="&amp;B129), "")</f>
        <v>264697.785227922</v>
      </c>
    </row>
    <row r="130" customFormat="false" ht="15" hidden="false" customHeight="false" outlineLevel="0" collapsed="false">
      <c r="B130" s="30" t="n">
        <v>126</v>
      </c>
      <c r="C130" s="31" t="n">
        <f aca="false">IF(B130&lt;=TermYrs*12, -PMT(IntRate/12, TermYrs*12, LoanAmt), "")</f>
        <v>2308.84282410265</v>
      </c>
      <c r="D130" s="31" t="n">
        <f aca="false">IF(B130&lt;=TermYrs*12, -IPMT(IntRate/12, B130, TermYrs*12, LoanAmt), "")</f>
        <v>1378.6342980621</v>
      </c>
      <c r="E130" s="31" t="n">
        <f aca="false">IF(B130&lt;=TermYrs*12, -PPMT(IntRate/12, B130, TermYrs*12, LoanAmt), "")</f>
        <v>930.208526040553</v>
      </c>
      <c r="F130" s="31" t="n">
        <f aca="false">IF(B130&lt;=TermYrs*12, LoanAmt-SUMIFS($E$5:E130, $B$5:B130, "&lt;="&amp;B130), "")</f>
        <v>263767.576701881</v>
      </c>
    </row>
    <row r="131" customFormat="false" ht="15" hidden="false" customHeight="false" outlineLevel="0" collapsed="false">
      <c r="B131" s="30" t="n">
        <v>127</v>
      </c>
      <c r="C131" s="31" t="n">
        <f aca="false">IF(B131&lt;=TermYrs*12, -PMT(IntRate/12, TermYrs*12, LoanAmt), "")</f>
        <v>2308.84282410265</v>
      </c>
      <c r="D131" s="31" t="n">
        <f aca="false">IF(B131&lt;=TermYrs*12, -IPMT(IntRate/12, B131, TermYrs*12, LoanAmt), "")</f>
        <v>1373.78946198897</v>
      </c>
      <c r="E131" s="31" t="n">
        <f aca="false">IF(B131&lt;=TermYrs*12, -PPMT(IntRate/12, B131, TermYrs*12, LoanAmt), "")</f>
        <v>935.053362113681</v>
      </c>
      <c r="F131" s="31" t="n">
        <f aca="false">IF(B131&lt;=TermYrs*12, LoanAmt-SUMIFS($E$5:E131, $B$5:B131, "&lt;="&amp;B131), "")</f>
        <v>262832.523339767</v>
      </c>
    </row>
    <row r="132" customFormat="false" ht="15" hidden="false" customHeight="false" outlineLevel="0" collapsed="false">
      <c r="B132" s="30" t="n">
        <v>128</v>
      </c>
      <c r="C132" s="31" t="n">
        <f aca="false">IF(B132&lt;=TermYrs*12, -PMT(IntRate/12, TermYrs*12, LoanAmt), "")</f>
        <v>2308.84282410265</v>
      </c>
      <c r="D132" s="31" t="n">
        <f aca="false">IF(B132&lt;=TermYrs*12, -IPMT(IntRate/12, B132, TermYrs*12, LoanAmt), "")</f>
        <v>1368.91939239463</v>
      </c>
      <c r="E132" s="31" t="n">
        <f aca="false">IF(B132&lt;=TermYrs*12, -PPMT(IntRate/12, B132, TermYrs*12, LoanAmt), "")</f>
        <v>939.923431708023</v>
      </c>
      <c r="F132" s="31" t="n">
        <f aca="false">IF(B132&lt;=TermYrs*12, LoanAmt-SUMIFS($E$5:E132, $B$5:B132, "&lt;="&amp;B132), "")</f>
        <v>261892.599908059</v>
      </c>
    </row>
    <row r="133" customFormat="false" ht="15" hidden="false" customHeight="false" outlineLevel="0" collapsed="false">
      <c r="B133" s="30" t="n">
        <v>129</v>
      </c>
      <c r="C133" s="31" t="n">
        <f aca="false">IF(B133&lt;=TermYrs*12, -PMT(IntRate/12, TermYrs*12, LoanAmt), "")</f>
        <v>2308.84282410265</v>
      </c>
      <c r="D133" s="31" t="n">
        <f aca="false">IF(B133&lt;=TermYrs*12, -IPMT(IntRate/12, B133, TermYrs*12, LoanAmt), "")</f>
        <v>1364.02395785448</v>
      </c>
      <c r="E133" s="31" t="n">
        <f aca="false">IF(B133&lt;=TermYrs*12, -PPMT(IntRate/12, B133, TermYrs*12, LoanAmt), "")</f>
        <v>944.818866248168</v>
      </c>
      <c r="F133" s="31" t="n">
        <f aca="false">IF(B133&lt;=TermYrs*12, LoanAmt-SUMIFS($E$5:E133, $B$5:B133, "&lt;="&amp;B133), "")</f>
        <v>260947.781041811</v>
      </c>
    </row>
    <row r="134" customFormat="false" ht="15" hidden="false" customHeight="false" outlineLevel="0" collapsed="false">
      <c r="B134" s="30" t="n">
        <v>130</v>
      </c>
      <c r="C134" s="31" t="n">
        <f aca="false">IF(B134&lt;=TermYrs*12, -PMT(IntRate/12, TermYrs*12, LoanAmt), "")</f>
        <v>2308.84282410265</v>
      </c>
      <c r="D134" s="31" t="n">
        <f aca="false">IF(B134&lt;=TermYrs*12, -IPMT(IntRate/12, B134, TermYrs*12, LoanAmt), "")</f>
        <v>1359.10302625944</v>
      </c>
      <c r="E134" s="31" t="n">
        <f aca="false">IF(B134&lt;=TermYrs*12, -PPMT(IntRate/12, B134, TermYrs*12, LoanAmt), "")</f>
        <v>949.739797843212</v>
      </c>
      <c r="F134" s="31" t="n">
        <f aca="false">IF(B134&lt;=TermYrs*12, LoanAmt-SUMIFS($E$5:E134, $B$5:B134, "&lt;="&amp;B134), "")</f>
        <v>259998.041243968</v>
      </c>
    </row>
    <row r="135" customFormat="false" ht="15" hidden="false" customHeight="false" outlineLevel="0" collapsed="false">
      <c r="B135" s="30" t="n">
        <v>131</v>
      </c>
      <c r="C135" s="31" t="n">
        <f aca="false">IF(B135&lt;=TermYrs*12, -PMT(IntRate/12, TermYrs*12, LoanAmt), "")</f>
        <v>2308.84282410265</v>
      </c>
      <c r="D135" s="31" t="n">
        <f aca="false">IF(B135&lt;=TermYrs*12, -IPMT(IntRate/12, B135, TermYrs*12, LoanAmt), "")</f>
        <v>1354.15646481234</v>
      </c>
      <c r="E135" s="31" t="n">
        <f aca="false">IF(B135&lt;=TermYrs*12, -PPMT(IntRate/12, B135, TermYrs*12, LoanAmt), "")</f>
        <v>954.686359290311</v>
      </c>
      <c r="F135" s="31" t="n">
        <f aca="false">IF(B135&lt;=TermYrs*12, LoanAmt-SUMIFS($E$5:E135, $B$5:B135, "&lt;="&amp;B135), "")</f>
        <v>259043.354884678</v>
      </c>
    </row>
    <row r="136" customFormat="false" ht="15" hidden="false" customHeight="false" outlineLevel="0" collapsed="false">
      <c r="B136" s="30" t="n">
        <v>132</v>
      </c>
      <c r="C136" s="31" t="n">
        <f aca="false">IF(B136&lt;=TermYrs*12, -PMT(IntRate/12, TermYrs*12, LoanAmt), "")</f>
        <v>2308.84282410265</v>
      </c>
      <c r="D136" s="31" t="n">
        <f aca="false">IF(B136&lt;=TermYrs*12, -IPMT(IntRate/12, B136, TermYrs*12, LoanAmt), "")</f>
        <v>1349.18414002437</v>
      </c>
      <c r="E136" s="31" t="n">
        <f aca="false">IF(B136&lt;=TermYrs*12, -PPMT(IntRate/12, B136, TermYrs*12, LoanAmt), "")</f>
        <v>959.658684078282</v>
      </c>
      <c r="F136" s="31" t="n">
        <f aca="false">IF(B136&lt;=TermYrs*12, LoanAmt-SUMIFS($E$5:E136, $B$5:B136, "&lt;="&amp;B136), "")</f>
        <v>258083.696200599</v>
      </c>
    </row>
    <row r="137" customFormat="false" ht="15" hidden="false" customHeight="false" outlineLevel="0" collapsed="false">
      <c r="B137" s="30" t="n">
        <v>133</v>
      </c>
      <c r="C137" s="31" t="n">
        <f aca="false">IF(B137&lt;=TermYrs*12, -PMT(IntRate/12, TermYrs*12, LoanAmt), "")</f>
        <v>2308.84282410265</v>
      </c>
      <c r="D137" s="31" t="n">
        <f aca="false">IF(B137&lt;=TermYrs*12, -IPMT(IntRate/12, B137, TermYrs*12, LoanAmt), "")</f>
        <v>1344.18591771146</v>
      </c>
      <c r="E137" s="31" t="n">
        <f aca="false">IF(B137&lt;=TermYrs*12, -PPMT(IntRate/12, B137, TermYrs*12, LoanAmt), "")</f>
        <v>964.65690639119</v>
      </c>
      <c r="F137" s="31" t="n">
        <f aca="false">IF(B137&lt;=TermYrs*12, LoanAmt-SUMIFS($E$5:E137, $B$5:B137, "&lt;="&amp;B137), "")</f>
        <v>257119.039294208</v>
      </c>
    </row>
    <row r="138" customFormat="false" ht="15" hidden="false" customHeight="false" outlineLevel="0" collapsed="false">
      <c r="B138" s="30" t="n">
        <v>134</v>
      </c>
      <c r="C138" s="31" t="n">
        <f aca="false">IF(B138&lt;=TermYrs*12, -PMT(IntRate/12, TermYrs*12, LoanAmt), "")</f>
        <v>2308.84282410265</v>
      </c>
      <c r="D138" s="31" t="n">
        <f aca="false">IF(B138&lt;=TermYrs*12, -IPMT(IntRate/12, B138, TermYrs*12, LoanAmt), "")</f>
        <v>1339.16166299067</v>
      </c>
      <c r="E138" s="31" t="n">
        <f aca="false">IF(B138&lt;=TermYrs*12, -PPMT(IntRate/12, B138, TermYrs*12, LoanAmt), "")</f>
        <v>969.681161111977</v>
      </c>
      <c r="F138" s="31" t="n">
        <f aca="false">IF(B138&lt;=TermYrs*12, LoanAmt-SUMIFS($E$5:E138, $B$5:B138, "&lt;="&amp;B138), "")</f>
        <v>256149.358133096</v>
      </c>
    </row>
    <row r="139" customFormat="false" ht="15" hidden="false" customHeight="false" outlineLevel="0" collapsed="false">
      <c r="B139" s="30" t="n">
        <v>135</v>
      </c>
      <c r="C139" s="31" t="n">
        <f aca="false">IF(B139&lt;=TermYrs*12, -PMT(IntRate/12, TermYrs*12, LoanAmt), "")</f>
        <v>2308.84282410265</v>
      </c>
      <c r="D139" s="31" t="n">
        <f aca="false">IF(B139&lt;=TermYrs*12, -IPMT(IntRate/12, B139, TermYrs*12, LoanAmt), "")</f>
        <v>1334.11124027655</v>
      </c>
      <c r="E139" s="31" t="n">
        <f aca="false">IF(B139&lt;=TermYrs*12, -PPMT(IntRate/12, B139, TermYrs*12, LoanAmt), "")</f>
        <v>974.731583826101</v>
      </c>
      <c r="F139" s="31" t="n">
        <f aca="false">IF(B139&lt;=TermYrs*12, LoanAmt-SUMIFS($E$5:E139, $B$5:B139, "&lt;="&amp;B139), "")</f>
        <v>255174.62654927</v>
      </c>
    </row>
    <row r="140" customFormat="false" ht="15" hidden="false" customHeight="false" outlineLevel="0" collapsed="false">
      <c r="B140" s="30" t="n">
        <v>136</v>
      </c>
      <c r="C140" s="31" t="n">
        <f aca="false">IF(B140&lt;=TermYrs*12, -PMT(IntRate/12, TermYrs*12, LoanAmt), "")</f>
        <v>2308.84282410265</v>
      </c>
      <c r="D140" s="31" t="n">
        <f aca="false">IF(B140&lt;=TermYrs*12, -IPMT(IntRate/12, B140, TermYrs*12, LoanAmt), "")</f>
        <v>1329.03451327745</v>
      </c>
      <c r="E140" s="31" t="n">
        <f aca="false">IF(B140&lt;=TermYrs*12, -PPMT(IntRate/12, B140, TermYrs*12, LoanAmt), "")</f>
        <v>979.808310825196</v>
      </c>
      <c r="F140" s="31" t="n">
        <f aca="false">IF(B140&lt;=TermYrs*12, LoanAmt-SUMIFS($E$5:E140, $B$5:B140, "&lt;="&amp;B140), "")</f>
        <v>254194.818238445</v>
      </c>
    </row>
    <row r="141" customFormat="false" ht="15" hidden="false" customHeight="false" outlineLevel="0" collapsed="false">
      <c r="B141" s="30" t="n">
        <v>137</v>
      </c>
      <c r="C141" s="31" t="n">
        <f aca="false">IF(B141&lt;=TermYrs*12, -PMT(IntRate/12, TermYrs*12, LoanAmt), "")</f>
        <v>2308.84282410265</v>
      </c>
      <c r="D141" s="31" t="n">
        <f aca="false">IF(B141&lt;=TermYrs*12, -IPMT(IntRate/12, B141, TermYrs*12, LoanAmt), "")</f>
        <v>1323.93134499191</v>
      </c>
      <c r="E141" s="31" t="n">
        <f aca="false">IF(B141&lt;=TermYrs*12, -PPMT(IntRate/12, B141, TermYrs*12, LoanAmt), "")</f>
        <v>984.911479110743</v>
      </c>
      <c r="F141" s="31" t="n">
        <f aca="false">IF(B141&lt;=TermYrs*12, LoanAmt-SUMIFS($E$5:E141, $B$5:B141, "&lt;="&amp;B141), "")</f>
        <v>253209.906759334</v>
      </c>
    </row>
    <row r="142" customFormat="false" ht="15" hidden="false" customHeight="false" outlineLevel="0" collapsed="false">
      <c r="B142" s="30" t="n">
        <v>138</v>
      </c>
      <c r="C142" s="31" t="n">
        <f aca="false">IF(B142&lt;=TermYrs*12, -PMT(IntRate/12, TermYrs*12, LoanAmt), "")</f>
        <v>2308.84282410265</v>
      </c>
      <c r="D142" s="31" t="n">
        <f aca="false">IF(B142&lt;=TermYrs*12, -IPMT(IntRate/12, B142, TermYrs*12, LoanAmt), "")</f>
        <v>1318.80159770487</v>
      </c>
      <c r="E142" s="31" t="n">
        <f aca="false">IF(B142&lt;=TermYrs*12, -PPMT(IntRate/12, B142, TermYrs*12, LoanAmt), "")</f>
        <v>990.041226397779</v>
      </c>
      <c r="F142" s="31" t="n">
        <f aca="false">IF(B142&lt;=TermYrs*12, LoanAmt-SUMIFS($E$5:E142, $B$5:B142, "&lt;="&amp;B142), "")</f>
        <v>252219.865532936</v>
      </c>
    </row>
    <row r="143" customFormat="false" ht="15" hidden="false" customHeight="false" outlineLevel="0" collapsed="false">
      <c r="B143" s="30" t="n">
        <v>139</v>
      </c>
      <c r="C143" s="31" t="n">
        <f aca="false">IF(B143&lt;=TermYrs*12, -PMT(IntRate/12, TermYrs*12, LoanAmt), "")</f>
        <v>2308.84282410265</v>
      </c>
      <c r="D143" s="31" t="n">
        <f aca="false">IF(B143&lt;=TermYrs*12, -IPMT(IntRate/12, B143, TermYrs*12, LoanAmt), "")</f>
        <v>1313.64513298405</v>
      </c>
      <c r="E143" s="31" t="n">
        <f aca="false">IF(B143&lt;=TermYrs*12, -PPMT(IntRate/12, B143, TermYrs*12, LoanAmt), "")</f>
        <v>995.1976911186</v>
      </c>
      <c r="F143" s="31" t="n">
        <f aca="false">IF(B143&lt;=TermYrs*12, LoanAmt-SUMIFS($E$5:E143, $B$5:B143, "&lt;="&amp;B143), "")</f>
        <v>251224.667841818</v>
      </c>
    </row>
    <row r="144" customFormat="false" ht="15" hidden="false" customHeight="false" outlineLevel="0" collapsed="false">
      <c r="B144" s="30" t="n">
        <v>140</v>
      </c>
      <c r="C144" s="31" t="n">
        <f aca="false">IF(B144&lt;=TermYrs*12, -PMT(IntRate/12, TermYrs*12, LoanAmt), "")</f>
        <v>2308.84282410265</v>
      </c>
      <c r="D144" s="31" t="n">
        <f aca="false">IF(B144&lt;=TermYrs*12, -IPMT(IntRate/12, B144, TermYrs*12, LoanAmt), "")</f>
        <v>1308.46181167614</v>
      </c>
      <c r="E144" s="31" t="n">
        <f aca="false">IF(B144&lt;=TermYrs*12, -PPMT(IntRate/12, B144, TermYrs*12, LoanAmt), "")</f>
        <v>1000.38101242651</v>
      </c>
      <c r="F144" s="31" t="n">
        <f aca="false">IF(B144&lt;=TermYrs*12, LoanAmt-SUMIFS($E$5:E144, $B$5:B144, "&lt;="&amp;B144), "")</f>
        <v>250224.286829391</v>
      </c>
    </row>
    <row r="145" customFormat="false" ht="15" hidden="false" customHeight="false" outlineLevel="0" collapsed="false">
      <c r="B145" s="30" t="n">
        <v>141</v>
      </c>
      <c r="C145" s="31" t="n">
        <f aca="false">IF(B145&lt;=TermYrs*12, -PMT(IntRate/12, TermYrs*12, LoanAmt), "")</f>
        <v>2308.84282410265</v>
      </c>
      <c r="D145" s="31" t="n">
        <f aca="false">IF(B145&lt;=TermYrs*12, -IPMT(IntRate/12, B145, TermYrs*12, LoanAmt), "")</f>
        <v>1303.25149390309</v>
      </c>
      <c r="E145" s="31" t="n">
        <f aca="false">IF(B145&lt;=TermYrs*12, -PPMT(IntRate/12, B145, TermYrs*12, LoanAmt), "")</f>
        <v>1005.59133019956</v>
      </c>
      <c r="F145" s="31" t="n">
        <f aca="false">IF(B145&lt;=TermYrs*12, LoanAmt-SUMIFS($E$5:E145, $B$5:B145, "&lt;="&amp;B145), "")</f>
        <v>249218.695499192</v>
      </c>
    </row>
    <row r="146" customFormat="false" ht="15" hidden="false" customHeight="false" outlineLevel="0" collapsed="false">
      <c r="B146" s="30" t="n">
        <v>142</v>
      </c>
      <c r="C146" s="31" t="n">
        <f aca="false">IF(B146&lt;=TermYrs*12, -PMT(IntRate/12, TermYrs*12, LoanAmt), "")</f>
        <v>2308.84282410265</v>
      </c>
      <c r="D146" s="31" t="n">
        <f aca="false">IF(B146&lt;=TermYrs*12, -IPMT(IntRate/12, B146, TermYrs*12, LoanAmt), "")</f>
        <v>1298.0140390583</v>
      </c>
      <c r="E146" s="31" t="n">
        <f aca="false">IF(B146&lt;=TermYrs*12, -PPMT(IntRate/12, B146, TermYrs*12, LoanAmt), "")</f>
        <v>1010.82878504435</v>
      </c>
      <c r="F146" s="31" t="n">
        <f aca="false">IF(B146&lt;=TermYrs*12, LoanAmt-SUMIFS($E$5:E146, $B$5:B146, "&lt;="&amp;B146), "")</f>
        <v>248207.866714147</v>
      </c>
    </row>
    <row r="147" customFormat="false" ht="15" hidden="false" customHeight="false" outlineLevel="0" collapsed="false">
      <c r="B147" s="30" t="n">
        <v>143</v>
      </c>
      <c r="C147" s="31" t="n">
        <f aca="false">IF(B147&lt;=TermYrs*12, -PMT(IntRate/12, TermYrs*12, LoanAmt), "")</f>
        <v>2308.84282410265</v>
      </c>
      <c r="D147" s="31" t="n">
        <f aca="false">IF(B147&lt;=TermYrs*12, -IPMT(IntRate/12, B147, TermYrs*12, LoanAmt), "")</f>
        <v>1292.74930580286</v>
      </c>
      <c r="E147" s="31" t="n">
        <f aca="false">IF(B147&lt;=TermYrs*12, -PPMT(IntRate/12, B147, TermYrs*12, LoanAmt), "")</f>
        <v>1016.09351829979</v>
      </c>
      <c r="F147" s="31" t="n">
        <f aca="false">IF(B147&lt;=TermYrs*12, LoanAmt-SUMIFS($E$5:E147, $B$5:B147, "&lt;="&amp;B147), "")</f>
        <v>247191.773195848</v>
      </c>
    </row>
    <row r="148" customFormat="false" ht="15" hidden="false" customHeight="false" outlineLevel="0" collapsed="false">
      <c r="B148" s="30" t="n">
        <v>144</v>
      </c>
      <c r="C148" s="31" t="n">
        <f aca="false">IF(B148&lt;=TermYrs*12, -PMT(IntRate/12, TermYrs*12, LoanAmt), "")</f>
        <v>2308.84282410265</v>
      </c>
      <c r="D148" s="31" t="n">
        <f aca="false">IF(B148&lt;=TermYrs*12, -IPMT(IntRate/12, B148, TermYrs*12, LoanAmt), "")</f>
        <v>1287.45715206171</v>
      </c>
      <c r="E148" s="31" t="n">
        <f aca="false">IF(B148&lt;=TermYrs*12, -PPMT(IntRate/12, B148, TermYrs*12, LoanAmt), "")</f>
        <v>1021.38567204094</v>
      </c>
      <c r="F148" s="31" t="n">
        <f aca="false">IF(B148&lt;=TermYrs*12, LoanAmt-SUMIFS($E$5:E148, $B$5:B148, "&lt;="&amp;B148), "")</f>
        <v>246170.387523807</v>
      </c>
    </row>
    <row r="149" customFormat="false" ht="15" hidden="false" customHeight="false" outlineLevel="0" collapsed="false">
      <c r="B149" s="30" t="n">
        <v>145</v>
      </c>
      <c r="C149" s="31" t="n">
        <f aca="false">IF(B149&lt;=TermYrs*12, -PMT(IntRate/12, TermYrs*12, LoanAmt), "")</f>
        <v>2308.84282410265</v>
      </c>
      <c r="D149" s="31" t="n">
        <f aca="false">IF(B149&lt;=TermYrs*12, -IPMT(IntRate/12, B149, TermYrs*12, LoanAmt), "")</f>
        <v>1282.13743501983</v>
      </c>
      <c r="E149" s="31" t="n">
        <f aca="false">IF(B149&lt;=TermYrs*12, -PPMT(IntRate/12, B149, TermYrs*12, LoanAmt), "")</f>
        <v>1026.70538908282</v>
      </c>
      <c r="F149" s="31" t="n">
        <f aca="false">IF(B149&lt;=TermYrs*12, LoanAmt-SUMIFS($E$5:E149, $B$5:B149, "&lt;="&amp;B149), "")</f>
        <v>245143.682134724</v>
      </c>
    </row>
    <row r="150" customFormat="false" ht="15" hidden="false" customHeight="false" outlineLevel="0" collapsed="false">
      <c r="B150" s="30" t="n">
        <v>146</v>
      </c>
      <c r="C150" s="31" t="n">
        <f aca="false">IF(B150&lt;=TermYrs*12, -PMT(IntRate/12, TermYrs*12, LoanAmt), "")</f>
        <v>2308.84282410265</v>
      </c>
      <c r="D150" s="31" t="n">
        <f aca="false">IF(B150&lt;=TermYrs*12, -IPMT(IntRate/12, B150, TermYrs*12, LoanAmt), "")</f>
        <v>1276.79001111836</v>
      </c>
      <c r="E150" s="31" t="n">
        <f aca="false">IF(B150&lt;=TermYrs*12, -PPMT(IntRate/12, B150, TermYrs*12, LoanAmt), "")</f>
        <v>1032.05281298429</v>
      </c>
      <c r="F150" s="31" t="n">
        <f aca="false">IF(B150&lt;=TermYrs*12, LoanAmt-SUMIFS($E$5:E150, $B$5:B150, "&lt;="&amp;B150), "")</f>
        <v>244111.629321739</v>
      </c>
    </row>
    <row r="151" customFormat="false" ht="15" hidden="false" customHeight="false" outlineLevel="0" collapsed="false">
      <c r="B151" s="30" t="n">
        <v>147</v>
      </c>
      <c r="C151" s="31" t="n">
        <f aca="false">IF(B151&lt;=TermYrs*12, -PMT(IntRate/12, TermYrs*12, LoanAmt), "")</f>
        <v>2308.84282410265</v>
      </c>
      <c r="D151" s="31" t="n">
        <f aca="false">IF(B151&lt;=TermYrs*12, -IPMT(IntRate/12, B151, TermYrs*12, LoanAmt), "")</f>
        <v>1271.41473605073</v>
      </c>
      <c r="E151" s="31" t="n">
        <f aca="false">IF(B151&lt;=TermYrs*12, -PPMT(IntRate/12, B151, TermYrs*12, LoanAmt), "")</f>
        <v>1037.42808805192</v>
      </c>
      <c r="F151" s="31" t="n">
        <f aca="false">IF(B151&lt;=TermYrs*12, LoanAmt-SUMIFS($E$5:E151, $B$5:B151, "&lt;="&amp;B151), "")</f>
        <v>243074.201233688</v>
      </c>
    </row>
    <row r="152" customFormat="false" ht="15" hidden="false" customHeight="false" outlineLevel="0" collapsed="false">
      <c r="B152" s="30" t="n">
        <v>148</v>
      </c>
      <c r="C152" s="31" t="n">
        <f aca="false">IF(B152&lt;=TermYrs*12, -PMT(IntRate/12, TermYrs*12, LoanAmt), "")</f>
        <v>2308.84282410265</v>
      </c>
      <c r="D152" s="31" t="n">
        <f aca="false">IF(B152&lt;=TermYrs*12, -IPMT(IntRate/12, B152, TermYrs*12, LoanAmt), "")</f>
        <v>1266.0114647588</v>
      </c>
      <c r="E152" s="31" t="n">
        <f aca="false">IF(B152&lt;=TermYrs*12, -PPMT(IntRate/12, B152, TermYrs*12, LoanAmt), "")</f>
        <v>1042.83135934385</v>
      </c>
      <c r="F152" s="31" t="n">
        <f aca="false">IF(B152&lt;=TermYrs*12, LoanAmt-SUMIFS($E$5:E152, $B$5:B152, "&lt;="&amp;B152), "")</f>
        <v>242031.369874344</v>
      </c>
    </row>
    <row r="153" customFormat="false" ht="15" hidden="false" customHeight="false" outlineLevel="0" collapsed="false">
      <c r="B153" s="30" t="n">
        <v>149</v>
      </c>
      <c r="C153" s="31" t="n">
        <f aca="false">IF(B153&lt;=TermYrs*12, -PMT(IntRate/12, TermYrs*12, LoanAmt), "")</f>
        <v>2308.84282410265</v>
      </c>
      <c r="D153" s="31" t="n">
        <f aca="false">IF(B153&lt;=TermYrs*12, -IPMT(IntRate/12, B153, TermYrs*12, LoanAmt), "")</f>
        <v>1260.58005142888</v>
      </c>
      <c r="E153" s="31" t="n">
        <f aca="false">IF(B153&lt;=TermYrs*12, -PPMT(IntRate/12, B153, TermYrs*12, LoanAmt), "")</f>
        <v>1048.26277267377</v>
      </c>
      <c r="F153" s="31" t="n">
        <f aca="false">IF(B153&lt;=TermYrs*12, LoanAmt-SUMIFS($E$5:E153, $B$5:B153, "&lt;="&amp;B153), "")</f>
        <v>240983.10710167</v>
      </c>
    </row>
    <row r="154" customFormat="false" ht="15" hidden="false" customHeight="false" outlineLevel="0" collapsed="false">
      <c r="B154" s="30" t="n">
        <v>150</v>
      </c>
      <c r="C154" s="31" t="n">
        <f aca="false">IF(B154&lt;=TermYrs*12, -PMT(IntRate/12, TermYrs*12, LoanAmt), "")</f>
        <v>2308.84282410265</v>
      </c>
      <c r="D154" s="31" t="n">
        <f aca="false">IF(B154&lt;=TermYrs*12, -IPMT(IntRate/12, B154, TermYrs*12, LoanAmt), "")</f>
        <v>1255.12034948787</v>
      </c>
      <c r="E154" s="31" t="n">
        <f aca="false">IF(B154&lt;=TermYrs*12, -PPMT(IntRate/12, B154, TermYrs*12, LoanAmt), "")</f>
        <v>1053.72247461478</v>
      </c>
      <c r="F154" s="31" t="n">
        <f aca="false">IF(B154&lt;=TermYrs*12, LoanAmt-SUMIFS($E$5:E154, $B$5:B154, "&lt;="&amp;B154), "")</f>
        <v>239929.384627055</v>
      </c>
    </row>
    <row r="155" customFormat="false" ht="15" hidden="false" customHeight="false" outlineLevel="0" collapsed="false">
      <c r="B155" s="30" t="n">
        <v>151</v>
      </c>
      <c r="C155" s="31" t="n">
        <f aca="false">IF(B155&lt;=TermYrs*12, -PMT(IntRate/12, TermYrs*12, LoanAmt), "")</f>
        <v>2308.84282410265</v>
      </c>
      <c r="D155" s="31" t="n">
        <f aca="false">IF(B155&lt;=TermYrs*12, -IPMT(IntRate/12, B155, TermYrs*12, LoanAmt), "")</f>
        <v>1249.63221159925</v>
      </c>
      <c r="E155" s="31" t="n">
        <f aca="false">IF(B155&lt;=TermYrs*12, -PPMT(IntRate/12, B155, TermYrs*12, LoanAmt), "")</f>
        <v>1059.2106125034</v>
      </c>
      <c r="F155" s="31" t="n">
        <f aca="false">IF(B155&lt;=TermYrs*12, LoanAmt-SUMIFS($E$5:E155, $B$5:B155, "&lt;="&amp;B155), "")</f>
        <v>238870.174014552</v>
      </c>
    </row>
    <row r="156" customFormat="false" ht="15" hidden="false" customHeight="false" outlineLevel="0" collapsed="false">
      <c r="B156" s="30" t="n">
        <v>152</v>
      </c>
      <c r="C156" s="31" t="n">
        <f aca="false">IF(B156&lt;=TermYrs*12, -PMT(IntRate/12, TermYrs*12, LoanAmt), "")</f>
        <v>2308.84282410265</v>
      </c>
      <c r="D156" s="31" t="n">
        <f aca="false">IF(B156&lt;=TermYrs*12, -IPMT(IntRate/12, B156, TermYrs*12, LoanAmt), "")</f>
        <v>1244.11548965913</v>
      </c>
      <c r="E156" s="31" t="n">
        <f aca="false">IF(B156&lt;=TermYrs*12, -PPMT(IntRate/12, B156, TermYrs*12, LoanAmt), "")</f>
        <v>1064.72733444352</v>
      </c>
      <c r="F156" s="31" t="n">
        <f aca="false">IF(B156&lt;=TermYrs*12, LoanAmt-SUMIFS($E$5:E156, $B$5:B156, "&lt;="&amp;B156), "")</f>
        <v>237805.446680108</v>
      </c>
    </row>
    <row r="157" customFormat="false" ht="15" hidden="false" customHeight="false" outlineLevel="0" collapsed="false">
      <c r="B157" s="30" t="n">
        <v>153</v>
      </c>
      <c r="C157" s="31" t="n">
        <f aca="false">IF(B157&lt;=TermYrs*12, -PMT(IntRate/12, TermYrs*12, LoanAmt), "")</f>
        <v>2308.84282410265</v>
      </c>
      <c r="D157" s="31" t="n">
        <f aca="false">IF(B157&lt;=TermYrs*12, -IPMT(IntRate/12, B157, TermYrs*12, LoanAmt), "")</f>
        <v>1238.57003479224</v>
      </c>
      <c r="E157" s="31" t="n">
        <f aca="false">IF(B157&lt;=TermYrs*12, -PPMT(IntRate/12, B157, TermYrs*12, LoanAmt), "")</f>
        <v>1070.27278931041</v>
      </c>
      <c r="F157" s="31" t="n">
        <f aca="false">IF(B157&lt;=TermYrs*12, LoanAmt-SUMIFS($E$5:E157, $B$5:B157, "&lt;="&amp;B157), "")</f>
        <v>236735.173890798</v>
      </c>
    </row>
    <row r="158" customFormat="false" ht="15" hidden="false" customHeight="false" outlineLevel="0" collapsed="false">
      <c r="B158" s="30" t="n">
        <v>154</v>
      </c>
      <c r="C158" s="31" t="n">
        <f aca="false">IF(B158&lt;=TermYrs*12, -PMT(IntRate/12, TermYrs*12, LoanAmt), "")</f>
        <v>2308.84282410265</v>
      </c>
      <c r="D158" s="31" t="n">
        <f aca="false">IF(B158&lt;=TermYrs*12, -IPMT(IntRate/12, B158, TermYrs*12, LoanAmt), "")</f>
        <v>1232.99569734791</v>
      </c>
      <c r="E158" s="31" t="n">
        <f aca="false">IF(B158&lt;=TermYrs*12, -PPMT(IntRate/12, B158, TermYrs*12, LoanAmt), "")</f>
        <v>1075.84712675474</v>
      </c>
      <c r="F158" s="31" t="n">
        <f aca="false">IF(B158&lt;=TermYrs*12, LoanAmt-SUMIFS($E$5:E158, $B$5:B158, "&lt;="&amp;B158), "")</f>
        <v>235659.326764043</v>
      </c>
    </row>
    <row r="159" customFormat="false" ht="15" hidden="false" customHeight="false" outlineLevel="0" collapsed="false">
      <c r="B159" s="30" t="n">
        <v>155</v>
      </c>
      <c r="C159" s="31" t="n">
        <f aca="false">IF(B159&lt;=TermYrs*12, -PMT(IntRate/12, TermYrs*12, LoanAmt), "")</f>
        <v>2308.84282410265</v>
      </c>
      <c r="D159" s="31" t="n">
        <f aca="false">IF(B159&lt;=TermYrs*12, -IPMT(IntRate/12, B159, TermYrs*12, LoanAmt), "")</f>
        <v>1227.39232689607</v>
      </c>
      <c r="E159" s="31" t="n">
        <f aca="false">IF(B159&lt;=TermYrs*12, -PPMT(IntRate/12, B159, TermYrs*12, LoanAmt), "")</f>
        <v>1081.45049720658</v>
      </c>
      <c r="F159" s="31" t="n">
        <f aca="false">IF(B159&lt;=TermYrs*12, LoanAmt-SUMIFS($E$5:E159, $B$5:B159, "&lt;="&amp;B159), "")</f>
        <v>234577.876266836</v>
      </c>
    </row>
    <row r="160" customFormat="false" ht="15" hidden="false" customHeight="false" outlineLevel="0" collapsed="false">
      <c r="B160" s="30" t="n">
        <v>156</v>
      </c>
      <c r="C160" s="31" t="n">
        <f aca="false">IF(B160&lt;=TermYrs*12, -PMT(IntRate/12, TermYrs*12, LoanAmt), "")</f>
        <v>2308.84282410265</v>
      </c>
      <c r="D160" s="31" t="n">
        <f aca="false">IF(B160&lt;=TermYrs*12, -IPMT(IntRate/12, B160, TermYrs*12, LoanAmt), "")</f>
        <v>1221.75977222311</v>
      </c>
      <c r="E160" s="31" t="n">
        <f aca="false">IF(B160&lt;=TermYrs*12, -PPMT(IntRate/12, B160, TermYrs*12, LoanAmt), "")</f>
        <v>1087.08305187954</v>
      </c>
      <c r="F160" s="31" t="n">
        <f aca="false">IF(B160&lt;=TermYrs*12, LoanAmt-SUMIFS($E$5:E160, $B$5:B160, "&lt;="&amp;B160), "")</f>
        <v>233490.793214957</v>
      </c>
    </row>
    <row r="161" customFormat="false" ht="15" hidden="false" customHeight="false" outlineLevel="0" collapsed="false">
      <c r="B161" s="30" t="n">
        <v>157</v>
      </c>
      <c r="C161" s="31" t="n">
        <f aca="false">IF(B161&lt;=TermYrs*12, -PMT(IntRate/12, TermYrs*12, LoanAmt), "")</f>
        <v>2308.84282410265</v>
      </c>
      <c r="D161" s="31" t="n">
        <f aca="false">IF(B161&lt;=TermYrs*12, -IPMT(IntRate/12, B161, TermYrs*12, LoanAmt), "")</f>
        <v>1216.09788132791</v>
      </c>
      <c r="E161" s="31" t="n">
        <f aca="false">IF(B161&lt;=TermYrs*12, -PPMT(IntRate/12, B161, TermYrs*12, LoanAmt), "")</f>
        <v>1092.74494277474</v>
      </c>
      <c r="F161" s="31" t="n">
        <f aca="false">IF(B161&lt;=TermYrs*12, LoanAmt-SUMIFS($E$5:E161, $B$5:B161, "&lt;="&amp;B161), "")</f>
        <v>232398.048272182</v>
      </c>
    </row>
    <row r="162" customFormat="false" ht="15" hidden="false" customHeight="false" outlineLevel="0" collapsed="false">
      <c r="B162" s="30" t="n">
        <v>158</v>
      </c>
      <c r="C162" s="31" t="n">
        <f aca="false">IF(B162&lt;=TermYrs*12, -PMT(IntRate/12, TermYrs*12, LoanAmt), "")</f>
        <v>2308.84282410265</v>
      </c>
      <c r="D162" s="31" t="n">
        <f aca="false">IF(B162&lt;=TermYrs*12, -IPMT(IntRate/12, B162, TermYrs*12, LoanAmt), "")</f>
        <v>1210.40650141762</v>
      </c>
      <c r="E162" s="31" t="n">
        <f aca="false">IF(B162&lt;=TermYrs*12, -PPMT(IntRate/12, B162, TermYrs*12, LoanAmt), "")</f>
        <v>1098.43632268503</v>
      </c>
      <c r="F162" s="31" t="n">
        <f aca="false">IF(B162&lt;=TermYrs*12, LoanAmt-SUMIFS($E$5:E162, $B$5:B162, "&lt;="&amp;B162), "")</f>
        <v>231299.611949497</v>
      </c>
    </row>
    <row r="163" customFormat="false" ht="15" hidden="false" customHeight="false" outlineLevel="0" collapsed="false">
      <c r="B163" s="30" t="n">
        <v>159</v>
      </c>
      <c r="C163" s="31" t="n">
        <f aca="false">IF(B163&lt;=TermYrs*12, -PMT(IntRate/12, TermYrs*12, LoanAmt), "")</f>
        <v>2308.84282410265</v>
      </c>
      <c r="D163" s="31" t="n">
        <f aca="false">IF(B163&lt;=TermYrs*12, -IPMT(IntRate/12, B163, TermYrs*12, LoanAmt), "")</f>
        <v>1204.68547890364</v>
      </c>
      <c r="E163" s="31" t="n">
        <f aca="false">IF(B163&lt;=TermYrs*12, -PPMT(IntRate/12, B163, TermYrs*12, LoanAmt), "")</f>
        <v>1104.15734519901</v>
      </c>
      <c r="F163" s="31" t="n">
        <f aca="false">IF(B163&lt;=TermYrs*12, LoanAmt-SUMIFS($E$5:E163, $B$5:B163, "&lt;="&amp;B163), "")</f>
        <v>230195.454604298</v>
      </c>
    </row>
    <row r="164" customFormat="false" ht="15" hidden="false" customHeight="false" outlineLevel="0" collapsed="false">
      <c r="B164" s="30" t="n">
        <v>160</v>
      </c>
      <c r="C164" s="31" t="n">
        <f aca="false">IF(B164&lt;=TermYrs*12, -PMT(IntRate/12, TermYrs*12, LoanAmt), "")</f>
        <v>2308.84282410265</v>
      </c>
      <c r="D164" s="31" t="n">
        <f aca="false">IF(B164&lt;=TermYrs*12, -IPMT(IntRate/12, B164, TermYrs*12, LoanAmt), "")</f>
        <v>1198.9346593974</v>
      </c>
      <c r="E164" s="31" t="n">
        <f aca="false">IF(B164&lt;=TermYrs*12, -PPMT(IntRate/12, B164, TermYrs*12, LoanAmt), "")</f>
        <v>1109.90816470526</v>
      </c>
      <c r="F164" s="31" t="n">
        <f aca="false">IF(B164&lt;=TermYrs*12, LoanAmt-SUMIFS($E$5:E164, $B$5:B164, "&lt;="&amp;B164), "")</f>
        <v>229085.546439593</v>
      </c>
    </row>
    <row r="165" customFormat="false" ht="15" hidden="false" customHeight="false" outlineLevel="0" collapsed="false">
      <c r="B165" s="30" t="n">
        <v>161</v>
      </c>
      <c r="C165" s="31" t="n">
        <f aca="false">IF(B165&lt;=TermYrs*12, -PMT(IntRate/12, TermYrs*12, LoanAmt), "")</f>
        <v>2308.84282410265</v>
      </c>
      <c r="D165" s="31" t="n">
        <f aca="false">IF(B165&lt;=TermYrs*12, -IPMT(IntRate/12, B165, TermYrs*12, LoanAmt), "")</f>
        <v>1193.15388770622</v>
      </c>
      <c r="E165" s="31" t="n">
        <f aca="false">IF(B165&lt;=TermYrs*12, -PPMT(IntRate/12, B165, TermYrs*12, LoanAmt), "")</f>
        <v>1115.68893639643</v>
      </c>
      <c r="F165" s="31" t="n">
        <f aca="false">IF(B165&lt;=TermYrs*12, LoanAmt-SUMIFS($E$5:E165, $B$5:B165, "&lt;="&amp;B165), "")</f>
        <v>227969.857503197</v>
      </c>
    </row>
    <row r="166" customFormat="false" ht="15" hidden="false" customHeight="false" outlineLevel="0" collapsed="false">
      <c r="B166" s="30" t="n">
        <v>162</v>
      </c>
      <c r="C166" s="31" t="n">
        <f aca="false">IF(B166&lt;=TermYrs*12, -PMT(IntRate/12, TermYrs*12, LoanAmt), "")</f>
        <v>2308.84282410265</v>
      </c>
      <c r="D166" s="31" t="n">
        <f aca="false">IF(B166&lt;=TermYrs*12, -IPMT(IntRate/12, B166, TermYrs*12, LoanAmt), "")</f>
        <v>1187.34300782916</v>
      </c>
      <c r="E166" s="31" t="n">
        <f aca="false">IF(B166&lt;=TermYrs*12, -PPMT(IntRate/12, B166, TermYrs*12, LoanAmt), "")</f>
        <v>1121.49981627349</v>
      </c>
      <c r="F166" s="31" t="n">
        <f aca="false">IF(B166&lt;=TermYrs*12, LoanAmt-SUMIFS($E$5:E166, $B$5:B166, "&lt;="&amp;B166), "")</f>
        <v>226848.357686923</v>
      </c>
    </row>
    <row r="167" customFormat="false" ht="15" hidden="false" customHeight="false" outlineLevel="0" collapsed="false">
      <c r="B167" s="30" t="n">
        <v>163</v>
      </c>
      <c r="C167" s="31" t="n">
        <f aca="false">IF(B167&lt;=TermYrs*12, -PMT(IntRate/12, TermYrs*12, LoanAmt), "")</f>
        <v>2308.84282410265</v>
      </c>
      <c r="D167" s="31" t="n">
        <f aca="false">IF(B167&lt;=TermYrs*12, -IPMT(IntRate/12, B167, TermYrs*12, LoanAmt), "")</f>
        <v>1181.50186295273</v>
      </c>
      <c r="E167" s="31" t="n">
        <f aca="false">IF(B167&lt;=TermYrs*12, -PPMT(IntRate/12, B167, TermYrs*12, LoanAmt), "")</f>
        <v>1127.34096114992</v>
      </c>
      <c r="F167" s="31" t="n">
        <f aca="false">IF(B167&lt;=TermYrs*12, LoanAmt-SUMIFS($E$5:E167, $B$5:B167, "&lt;="&amp;B167), "")</f>
        <v>225721.016725773</v>
      </c>
    </row>
    <row r="168" customFormat="false" ht="15" hidden="false" customHeight="false" outlineLevel="0" collapsed="false">
      <c r="B168" s="30" t="n">
        <v>164</v>
      </c>
      <c r="C168" s="31" t="n">
        <f aca="false">IF(B168&lt;=TermYrs*12, -PMT(IntRate/12, TermYrs*12, LoanAmt), "")</f>
        <v>2308.84282410265</v>
      </c>
      <c r="D168" s="31" t="n">
        <f aca="false">IF(B168&lt;=TermYrs*12, -IPMT(IntRate/12, B168, TermYrs*12, LoanAmt), "")</f>
        <v>1175.63029544674</v>
      </c>
      <c r="E168" s="31" t="n">
        <f aca="false">IF(B168&lt;=TermYrs*12, -PPMT(IntRate/12, B168, TermYrs*12, LoanAmt), "")</f>
        <v>1133.21252865591</v>
      </c>
      <c r="F168" s="31" t="n">
        <f aca="false">IF(B168&lt;=TermYrs*12, LoanAmt-SUMIFS($E$5:E168, $B$5:B168, "&lt;="&amp;B168), "")</f>
        <v>224587.804197117</v>
      </c>
    </row>
    <row r="169" customFormat="false" ht="15" hidden="false" customHeight="false" outlineLevel="0" collapsed="false">
      <c r="B169" s="30" t="n">
        <v>165</v>
      </c>
      <c r="C169" s="31" t="n">
        <f aca="false">IF(B169&lt;=TermYrs*12, -PMT(IntRate/12, TermYrs*12, LoanAmt), "")</f>
        <v>2308.84282410265</v>
      </c>
      <c r="D169" s="31" t="n">
        <f aca="false">IF(B169&lt;=TermYrs*12, -IPMT(IntRate/12, B169, TermYrs*12, LoanAmt), "")</f>
        <v>1169.72814685999</v>
      </c>
      <c r="E169" s="31" t="n">
        <f aca="false">IF(B169&lt;=TermYrs*12, -PPMT(IntRate/12, B169, TermYrs*12, LoanAmt), "")</f>
        <v>1139.11467724266</v>
      </c>
      <c r="F169" s="31" t="n">
        <f aca="false">IF(B169&lt;=TermYrs*12, LoanAmt-SUMIFS($E$5:E169, $B$5:B169, "&lt;="&amp;B169), "")</f>
        <v>223448.689519875</v>
      </c>
    </row>
    <row r="170" customFormat="false" ht="15" hidden="false" customHeight="false" outlineLevel="0" collapsed="false">
      <c r="B170" s="30" t="n">
        <v>166</v>
      </c>
      <c r="C170" s="31" t="n">
        <f aca="false">IF(B170&lt;=TermYrs*12, -PMT(IntRate/12, TermYrs*12, LoanAmt), "")</f>
        <v>2308.84282410265</v>
      </c>
      <c r="D170" s="31" t="n">
        <f aca="false">IF(B170&lt;=TermYrs*12, -IPMT(IntRate/12, B170, TermYrs*12, LoanAmt), "")</f>
        <v>1163.79525791602</v>
      </c>
      <c r="E170" s="31" t="n">
        <f aca="false">IF(B170&lt;=TermYrs*12, -PPMT(IntRate/12, B170, TermYrs*12, LoanAmt), "")</f>
        <v>1145.04756618663</v>
      </c>
      <c r="F170" s="31" t="n">
        <f aca="false">IF(B170&lt;=TermYrs*12, LoanAmt-SUMIFS($E$5:E170, $B$5:B170, "&lt;="&amp;B170), "")</f>
        <v>222303.641953688</v>
      </c>
    </row>
    <row r="171" customFormat="false" ht="15" hidden="false" customHeight="false" outlineLevel="0" collapsed="false">
      <c r="B171" s="30" t="n">
        <v>167</v>
      </c>
      <c r="C171" s="31" t="n">
        <f aca="false">IF(B171&lt;=TermYrs*12, -PMT(IntRate/12, TermYrs*12, LoanAmt), "")</f>
        <v>2308.84282410265</v>
      </c>
      <c r="D171" s="31" t="n">
        <f aca="false">IF(B171&lt;=TermYrs*12, -IPMT(IntRate/12, B171, TermYrs*12, LoanAmt), "")</f>
        <v>1157.8314685088</v>
      </c>
      <c r="E171" s="31" t="n">
        <f aca="false">IF(B171&lt;=TermYrs*12, -PPMT(IntRate/12, B171, TermYrs*12, LoanAmt), "")</f>
        <v>1151.01135559385</v>
      </c>
      <c r="F171" s="31" t="n">
        <f aca="false">IF(B171&lt;=TermYrs*12, LoanAmt-SUMIFS($E$5:E171, $B$5:B171, "&lt;="&amp;B171), "")</f>
        <v>221152.630598094</v>
      </c>
    </row>
    <row r="172" customFormat="false" ht="15" hidden="false" customHeight="false" outlineLevel="0" collapsed="false">
      <c r="B172" s="30" t="n">
        <v>168</v>
      </c>
      <c r="C172" s="31" t="n">
        <f aca="false">IF(B172&lt;=TermYrs*12, -PMT(IntRate/12, TermYrs*12, LoanAmt), "")</f>
        <v>2308.84282410265</v>
      </c>
      <c r="D172" s="31" t="n">
        <f aca="false">IF(B172&lt;=TermYrs*12, -IPMT(IntRate/12, B172, TermYrs*12, LoanAmt), "")</f>
        <v>1151.83661769842</v>
      </c>
      <c r="E172" s="31" t="n">
        <f aca="false">IF(B172&lt;=TermYrs*12, -PPMT(IntRate/12, B172, TermYrs*12, LoanAmt), "")</f>
        <v>1157.00620640424</v>
      </c>
      <c r="F172" s="31" t="n">
        <f aca="false">IF(B172&lt;=TermYrs*12, LoanAmt-SUMIFS($E$5:E172, $B$5:B172, "&lt;="&amp;B172), "")</f>
        <v>219995.62439169</v>
      </c>
    </row>
    <row r="173" customFormat="false" ht="15" hidden="false" customHeight="false" outlineLevel="0" collapsed="false">
      <c r="B173" s="30" t="n">
        <v>169</v>
      </c>
      <c r="C173" s="31" t="n">
        <f aca="false">IF(B173&lt;=TermYrs*12, -PMT(IntRate/12, TermYrs*12, LoanAmt), "")</f>
        <v>2308.84282410265</v>
      </c>
      <c r="D173" s="31" t="n">
        <f aca="false">IF(B173&lt;=TermYrs*12, -IPMT(IntRate/12, B173, TermYrs*12, LoanAmt), "")</f>
        <v>1145.81054370673</v>
      </c>
      <c r="E173" s="31" t="n">
        <f aca="false">IF(B173&lt;=TermYrs*12, -PPMT(IntRate/12, B173, TermYrs*12, LoanAmt), "")</f>
        <v>1163.03228039592</v>
      </c>
      <c r="F173" s="31" t="n">
        <f aca="false">IF(B173&lt;=TermYrs*12, LoanAmt-SUMIFS($E$5:E173, $B$5:B173, "&lt;="&amp;B173), "")</f>
        <v>218832.592111294</v>
      </c>
    </row>
    <row r="174" customFormat="false" ht="15" hidden="false" customHeight="false" outlineLevel="0" collapsed="false">
      <c r="B174" s="30" t="n">
        <v>170</v>
      </c>
      <c r="C174" s="31" t="n">
        <f aca="false">IF(B174&lt;=TermYrs*12, -PMT(IntRate/12, TermYrs*12, LoanAmt), "")</f>
        <v>2308.84282410265</v>
      </c>
      <c r="D174" s="31" t="n">
        <f aca="false">IF(B174&lt;=TermYrs*12, -IPMT(IntRate/12, B174, TermYrs*12, LoanAmt), "")</f>
        <v>1139.753083913</v>
      </c>
      <c r="E174" s="31" t="n">
        <f aca="false">IF(B174&lt;=TermYrs*12, -PPMT(IntRate/12, B174, TermYrs*12, LoanAmt), "")</f>
        <v>1169.08974018965</v>
      </c>
      <c r="F174" s="31" t="n">
        <f aca="false">IF(B174&lt;=TermYrs*12, LoanAmt-SUMIFS($E$5:E174, $B$5:B174, "&lt;="&amp;B174), "")</f>
        <v>217663.502371104</v>
      </c>
    </row>
    <row r="175" customFormat="false" ht="15" hidden="false" customHeight="false" outlineLevel="0" collapsed="false">
      <c r="B175" s="30" t="n">
        <v>171</v>
      </c>
      <c r="C175" s="31" t="n">
        <f aca="false">IF(B175&lt;=TermYrs*12, -PMT(IntRate/12, TermYrs*12, LoanAmt), "")</f>
        <v>2308.84282410265</v>
      </c>
      <c r="D175" s="31" t="n">
        <f aca="false">IF(B175&lt;=TermYrs*12, -IPMT(IntRate/12, B175, TermYrs*12, LoanAmt), "")</f>
        <v>1133.66407484951</v>
      </c>
      <c r="E175" s="31" t="n">
        <f aca="false">IF(B175&lt;=TermYrs*12, -PPMT(IntRate/12, B175, TermYrs*12, LoanAmt), "")</f>
        <v>1175.17874925314</v>
      </c>
      <c r="F175" s="31" t="n">
        <f aca="false">IF(B175&lt;=TermYrs*12, LoanAmt-SUMIFS($E$5:E175, $B$5:B175, "&lt;="&amp;B175), "")</f>
        <v>216488.323621851</v>
      </c>
    </row>
    <row r="176" customFormat="false" ht="15" hidden="false" customHeight="false" outlineLevel="0" collapsed="false">
      <c r="B176" s="30" t="n">
        <v>172</v>
      </c>
      <c r="C176" s="31" t="n">
        <f aca="false">IF(B176&lt;=TermYrs*12, -PMT(IntRate/12, TermYrs*12, LoanAmt), "")</f>
        <v>2308.84282410265</v>
      </c>
      <c r="D176" s="31" t="n">
        <f aca="false">IF(B176&lt;=TermYrs*12, -IPMT(IntRate/12, B176, TermYrs*12, LoanAmt), "")</f>
        <v>1127.54335219715</v>
      </c>
      <c r="E176" s="31" t="n">
        <f aca="false">IF(B176&lt;=TermYrs*12, -PPMT(IntRate/12, B176, TermYrs*12, LoanAmt), "")</f>
        <v>1181.2994719055</v>
      </c>
      <c r="F176" s="31" t="n">
        <f aca="false">IF(B176&lt;=TermYrs*12, LoanAmt-SUMIFS($E$5:E176, $B$5:B176, "&lt;="&amp;B176), "")</f>
        <v>215307.024149946</v>
      </c>
    </row>
    <row r="177" customFormat="false" ht="15" hidden="false" customHeight="false" outlineLevel="0" collapsed="false">
      <c r="B177" s="30" t="n">
        <v>173</v>
      </c>
      <c r="C177" s="31" t="n">
        <f aca="false">IF(B177&lt;=TermYrs*12, -PMT(IntRate/12, TermYrs*12, LoanAmt), "")</f>
        <v>2308.84282410265</v>
      </c>
      <c r="D177" s="31" t="n">
        <f aca="false">IF(B177&lt;=TermYrs*12, -IPMT(IntRate/12, B177, TermYrs*12, LoanAmt), "")</f>
        <v>1121.39075078098</v>
      </c>
      <c r="E177" s="31" t="n">
        <f aca="false">IF(B177&lt;=TermYrs*12, -PPMT(IntRate/12, B177, TermYrs*12, LoanAmt), "")</f>
        <v>1187.45207332167</v>
      </c>
      <c r="F177" s="31" t="n">
        <f aca="false">IF(B177&lt;=TermYrs*12, LoanAmt-SUMIFS($E$5:E177, $B$5:B177, "&lt;="&amp;B177), "")</f>
        <v>214119.572076624</v>
      </c>
    </row>
    <row r="178" customFormat="false" ht="15" hidden="false" customHeight="false" outlineLevel="0" collapsed="false">
      <c r="B178" s="30" t="n">
        <v>174</v>
      </c>
      <c r="C178" s="31" t="n">
        <f aca="false">IF(B178&lt;=TermYrs*12, -PMT(IntRate/12, TermYrs*12, LoanAmt), "")</f>
        <v>2308.84282410265</v>
      </c>
      <c r="D178" s="31" t="n">
        <f aca="false">IF(B178&lt;=TermYrs*12, -IPMT(IntRate/12, B178, TermYrs*12, LoanAmt), "")</f>
        <v>1115.20610456576</v>
      </c>
      <c r="E178" s="31" t="n">
        <f aca="false">IF(B178&lt;=TermYrs*12, -PPMT(IntRate/12, B178, TermYrs*12, LoanAmt), "")</f>
        <v>1193.63671953689</v>
      </c>
      <c r="F178" s="31" t="n">
        <f aca="false">IF(B178&lt;=TermYrs*12, LoanAmt-SUMIFS($E$5:E178, $B$5:B178, "&lt;="&amp;B178), "")</f>
        <v>212925.935357087</v>
      </c>
    </row>
    <row r="179" customFormat="false" ht="15" hidden="false" customHeight="false" outlineLevel="0" collapsed="false">
      <c r="B179" s="30" t="n">
        <v>175</v>
      </c>
      <c r="C179" s="31" t="n">
        <f aca="false">IF(B179&lt;=TermYrs*12, -PMT(IntRate/12, TermYrs*12, LoanAmt), "")</f>
        <v>2308.84282410265</v>
      </c>
      <c r="D179" s="31" t="n">
        <f aca="false">IF(B179&lt;=TermYrs*12, -IPMT(IntRate/12, B179, TermYrs*12, LoanAmt), "")</f>
        <v>1108.9892466515</v>
      </c>
      <c r="E179" s="31" t="n">
        <f aca="false">IF(B179&lt;=TermYrs*12, -PPMT(IntRate/12, B179, TermYrs*12, LoanAmt), "")</f>
        <v>1199.85357745115</v>
      </c>
      <c r="F179" s="31" t="n">
        <f aca="false">IF(B179&lt;=TermYrs*12, LoanAmt-SUMIFS($E$5:E179, $B$5:B179, "&lt;="&amp;B179), "")</f>
        <v>211726.081779636</v>
      </c>
    </row>
    <row r="180" customFormat="false" ht="15" hidden="false" customHeight="false" outlineLevel="0" collapsed="false">
      <c r="B180" s="30" t="n">
        <v>176</v>
      </c>
      <c r="C180" s="31" t="n">
        <f aca="false">IF(B180&lt;=TermYrs*12, -PMT(IntRate/12, TermYrs*12, LoanAmt), "")</f>
        <v>2308.84282410265</v>
      </c>
      <c r="D180" s="31" t="n">
        <f aca="false">IF(B180&lt;=TermYrs*12, -IPMT(IntRate/12, B180, TermYrs*12, LoanAmt), "")</f>
        <v>1102.74000926895</v>
      </c>
      <c r="E180" s="31" t="n">
        <f aca="false">IF(B180&lt;=TermYrs*12, -PPMT(IntRate/12, B180, TermYrs*12, LoanAmt), "")</f>
        <v>1206.1028148337</v>
      </c>
      <c r="F180" s="31" t="n">
        <f aca="false">IF(B180&lt;=TermYrs*12, LoanAmt-SUMIFS($E$5:E180, $B$5:B180, "&lt;="&amp;B180), "")</f>
        <v>210519.978964802</v>
      </c>
    </row>
    <row r="181" customFormat="false" ht="15" hidden="false" customHeight="false" outlineLevel="0" collapsed="false">
      <c r="B181" s="30" t="n">
        <v>177</v>
      </c>
      <c r="C181" s="31" t="n">
        <f aca="false">IF(B181&lt;=TermYrs*12, -PMT(IntRate/12, TermYrs*12, LoanAmt), "")</f>
        <v>2308.84282410265</v>
      </c>
      <c r="D181" s="31" t="n">
        <f aca="false">IF(B181&lt;=TermYrs*12, -IPMT(IntRate/12, B181, TermYrs*12, LoanAmt), "")</f>
        <v>1096.45822377502</v>
      </c>
      <c r="E181" s="31" t="n">
        <f aca="false">IF(B181&lt;=TermYrs*12, -PPMT(IntRate/12, B181, TermYrs*12, LoanAmt), "")</f>
        <v>1212.38460032763</v>
      </c>
      <c r="F181" s="31" t="n">
        <f aca="false">IF(B181&lt;=TermYrs*12, LoanAmt-SUMIFS($E$5:E181, $B$5:B181, "&lt;="&amp;B181), "")</f>
        <v>209307.594364475</v>
      </c>
    </row>
    <row r="182" customFormat="false" ht="15" hidden="false" customHeight="false" outlineLevel="0" collapsed="false">
      <c r="B182" s="30" t="n">
        <v>178</v>
      </c>
      <c r="C182" s="31" t="n">
        <f aca="false">IF(B182&lt;=TermYrs*12, -PMT(IntRate/12, TermYrs*12, LoanAmt), "")</f>
        <v>2308.84282410265</v>
      </c>
      <c r="D182" s="31" t="n">
        <f aca="false">IF(B182&lt;=TermYrs*12, -IPMT(IntRate/12, B182, TermYrs*12, LoanAmt), "")</f>
        <v>1090.14372064832</v>
      </c>
      <c r="E182" s="31" t="n">
        <f aca="false">IF(B182&lt;=TermYrs*12, -PPMT(IntRate/12, B182, TermYrs*12, LoanAmt), "")</f>
        <v>1218.69910345434</v>
      </c>
      <c r="F182" s="31" t="n">
        <f aca="false">IF(B182&lt;=TermYrs*12, LoanAmt-SUMIFS($E$5:E182, $B$5:B182, "&lt;="&amp;B182), "")</f>
        <v>208088.89526102</v>
      </c>
    </row>
    <row r="183" customFormat="false" ht="15" hidden="false" customHeight="false" outlineLevel="0" collapsed="false">
      <c r="B183" s="30" t="n">
        <v>179</v>
      </c>
      <c r="C183" s="31" t="n">
        <f aca="false">IF(B183&lt;=TermYrs*12, -PMT(IntRate/12, TermYrs*12, LoanAmt), "")</f>
        <v>2308.84282410265</v>
      </c>
      <c r="D183" s="31" t="n">
        <f aca="false">IF(B183&lt;=TermYrs*12, -IPMT(IntRate/12, B183, TermYrs*12, LoanAmt), "")</f>
        <v>1083.79632948449</v>
      </c>
      <c r="E183" s="31" t="n">
        <f aca="false">IF(B183&lt;=TermYrs*12, -PPMT(IntRate/12, B183, TermYrs*12, LoanAmt), "")</f>
        <v>1225.04649461816</v>
      </c>
      <c r="F183" s="31" t="n">
        <f aca="false">IF(B183&lt;=TermYrs*12, LoanAmt-SUMIFS($E$5:E183, $B$5:B183, "&lt;="&amp;B183), "")</f>
        <v>206863.848766402</v>
      </c>
    </row>
    <row r="184" customFormat="false" ht="15" hidden="false" customHeight="false" outlineLevel="0" collapsed="false">
      <c r="B184" s="30" t="n">
        <v>180</v>
      </c>
      <c r="C184" s="31" t="n">
        <f aca="false">IF(B184&lt;=TermYrs*12, -PMT(IntRate/12, TermYrs*12, LoanAmt), "")</f>
        <v>2308.84282410265</v>
      </c>
      <c r="D184" s="31" t="n">
        <f aca="false">IF(B184&lt;=TermYrs*12, -IPMT(IntRate/12, B184, TermYrs*12, LoanAmt), "")</f>
        <v>1077.41587899169</v>
      </c>
      <c r="E184" s="31" t="n">
        <f aca="false">IF(B184&lt;=TermYrs*12, -PPMT(IntRate/12, B184, TermYrs*12, LoanAmt), "")</f>
        <v>1231.42694511096</v>
      </c>
      <c r="F184" s="31" t="n">
        <f aca="false">IF(B184&lt;=TermYrs*12, LoanAmt-SUMIFS($E$5:E184, $B$5:B184, "&lt;="&amp;B184), "")</f>
        <v>205632.421821291</v>
      </c>
    </row>
    <row r="185" customFormat="false" ht="15" hidden="false" customHeight="false" outlineLevel="0" collapsed="false">
      <c r="B185" s="30" t="n">
        <v>181</v>
      </c>
      <c r="C185" s="31" t="n">
        <f aca="false">IF(B185&lt;=TermYrs*12, -PMT(IntRate/12, TermYrs*12, LoanAmt), "")</f>
        <v>2308.84282410265</v>
      </c>
      <c r="D185" s="31" t="n">
        <f aca="false">IF(B185&lt;=TermYrs*12, -IPMT(IntRate/12, B185, TermYrs*12, LoanAmt), "")</f>
        <v>1071.0021969859</v>
      </c>
      <c r="E185" s="31" t="n">
        <f aca="false">IF(B185&lt;=TermYrs*12, -PPMT(IntRate/12, B185, TermYrs*12, LoanAmt), "")</f>
        <v>1237.84062711675</v>
      </c>
      <c r="F185" s="31" t="n">
        <f aca="false">IF(B185&lt;=TermYrs*12, LoanAmt-SUMIFS($E$5:E185, $B$5:B185, "&lt;="&amp;B185), "")</f>
        <v>204394.581194174</v>
      </c>
    </row>
    <row r="186" customFormat="false" ht="15" hidden="false" customHeight="false" outlineLevel="0" collapsed="false">
      <c r="B186" s="30" t="n">
        <v>182</v>
      </c>
      <c r="C186" s="31" t="n">
        <f aca="false">IF(B186&lt;=TermYrs*12, -PMT(IntRate/12, TermYrs*12, LoanAmt), "")</f>
        <v>2308.84282410265</v>
      </c>
      <c r="D186" s="31" t="n">
        <f aca="false">IF(B186&lt;=TermYrs*12, -IPMT(IntRate/12, B186, TermYrs*12, LoanAmt), "")</f>
        <v>1064.55511038634</v>
      </c>
      <c r="E186" s="31" t="n">
        <f aca="false">IF(B186&lt;=TermYrs*12, -PPMT(IntRate/12, B186, TermYrs*12, LoanAmt), "")</f>
        <v>1244.28771371632</v>
      </c>
      <c r="F186" s="31" t="n">
        <f aca="false">IF(B186&lt;=TermYrs*12, LoanAmt-SUMIFS($E$5:E186, $B$5:B186, "&lt;="&amp;B186), "")</f>
        <v>203150.293480458</v>
      </c>
    </row>
    <row r="187" customFormat="false" ht="15" hidden="false" customHeight="false" outlineLevel="0" collapsed="false">
      <c r="B187" s="30" t="n">
        <v>183</v>
      </c>
      <c r="C187" s="31" t="n">
        <f aca="false">IF(B187&lt;=TermYrs*12, -PMT(IntRate/12, TermYrs*12, LoanAmt), "")</f>
        <v>2308.84282410265</v>
      </c>
      <c r="D187" s="31" t="n">
        <f aca="false">IF(B187&lt;=TermYrs*12, -IPMT(IntRate/12, B187, TermYrs*12, LoanAmt), "")</f>
        <v>1058.07444521073</v>
      </c>
      <c r="E187" s="31" t="n">
        <f aca="false">IF(B187&lt;=TermYrs*12, -PPMT(IntRate/12, B187, TermYrs*12, LoanAmt), "")</f>
        <v>1250.76837889192</v>
      </c>
      <c r="F187" s="31" t="n">
        <f aca="false">IF(B187&lt;=TermYrs*12, LoanAmt-SUMIFS($E$5:E187, $B$5:B187, "&lt;="&amp;B187), "")</f>
        <v>201899.525101566</v>
      </c>
    </row>
    <row r="188" customFormat="false" ht="15" hidden="false" customHeight="false" outlineLevel="0" collapsed="false">
      <c r="B188" s="30" t="n">
        <v>184</v>
      </c>
      <c r="C188" s="31" t="n">
        <f aca="false">IF(B188&lt;=TermYrs*12, -PMT(IntRate/12, TermYrs*12, LoanAmt), "")</f>
        <v>2308.84282410265</v>
      </c>
      <c r="D188" s="31" t="n">
        <f aca="false">IF(B188&lt;=TermYrs*12, -IPMT(IntRate/12, B188, TermYrs*12, LoanAmt), "")</f>
        <v>1051.56002657067</v>
      </c>
      <c r="E188" s="31" t="n">
        <f aca="false">IF(B188&lt;=TermYrs*12, -PPMT(IntRate/12, B188, TermYrs*12, LoanAmt), "")</f>
        <v>1257.28279753198</v>
      </c>
      <c r="F188" s="31" t="n">
        <f aca="false">IF(B188&lt;=TermYrs*12, LoanAmt-SUMIFS($E$5:E188, $B$5:B188, "&lt;="&amp;B188), "")</f>
        <v>200642.242304034</v>
      </c>
    </row>
    <row r="189" customFormat="false" ht="15" hidden="false" customHeight="false" outlineLevel="0" collapsed="false">
      <c r="B189" s="30" t="n">
        <v>185</v>
      </c>
      <c r="C189" s="31" t="n">
        <f aca="false">IF(B189&lt;=TermYrs*12, -PMT(IntRate/12, TermYrs*12, LoanAmt), "")</f>
        <v>2308.84282410265</v>
      </c>
      <c r="D189" s="31" t="n">
        <f aca="false">IF(B189&lt;=TermYrs*12, -IPMT(IntRate/12, B189, TermYrs*12, LoanAmt), "")</f>
        <v>1045.01167866686</v>
      </c>
      <c r="E189" s="31" t="n">
        <f aca="false">IF(B189&lt;=TermYrs*12, -PPMT(IntRate/12, B189, TermYrs*12, LoanAmt), "")</f>
        <v>1263.8311454358</v>
      </c>
      <c r="F189" s="31" t="n">
        <f aca="false">IF(B189&lt;=TermYrs*12, LoanAmt-SUMIFS($E$5:E189, $B$5:B189, "&lt;="&amp;B189), "")</f>
        <v>199378.411158598</v>
      </c>
    </row>
    <row r="190" customFormat="false" ht="15" hidden="false" customHeight="false" outlineLevel="0" collapsed="false">
      <c r="B190" s="30" t="n">
        <v>186</v>
      </c>
      <c r="C190" s="31" t="n">
        <f aca="false">IF(B190&lt;=TermYrs*12, -PMT(IntRate/12, TermYrs*12, LoanAmt), "")</f>
        <v>2308.84282410265</v>
      </c>
      <c r="D190" s="31" t="n">
        <f aca="false">IF(B190&lt;=TermYrs*12, -IPMT(IntRate/12, B190, TermYrs*12, LoanAmt), "")</f>
        <v>1038.42922478438</v>
      </c>
      <c r="E190" s="31" t="n">
        <f aca="false">IF(B190&lt;=TermYrs*12, -PPMT(IntRate/12, B190, TermYrs*12, LoanAmt), "")</f>
        <v>1270.41359931827</v>
      </c>
      <c r="F190" s="31" t="n">
        <f aca="false">IF(B190&lt;=TermYrs*12, LoanAmt-SUMIFS($E$5:E190, $B$5:B190, "&lt;="&amp;B190), "")</f>
        <v>198107.99755928</v>
      </c>
    </row>
    <row r="191" customFormat="false" ht="15" hidden="false" customHeight="false" outlineLevel="0" collapsed="false">
      <c r="B191" s="30" t="n">
        <v>187</v>
      </c>
      <c r="C191" s="31" t="n">
        <f aca="false">IF(B191&lt;=TermYrs*12, -PMT(IntRate/12, TermYrs*12, LoanAmt), "")</f>
        <v>2308.84282410265</v>
      </c>
      <c r="D191" s="31" t="n">
        <f aca="false">IF(B191&lt;=TermYrs*12, -IPMT(IntRate/12, B191, TermYrs*12, LoanAmt), "")</f>
        <v>1031.81248728793</v>
      </c>
      <c r="E191" s="31" t="n">
        <f aca="false">IF(B191&lt;=TermYrs*12, -PPMT(IntRate/12, B191, TermYrs*12, LoanAmt), "")</f>
        <v>1277.03033681472</v>
      </c>
      <c r="F191" s="31" t="n">
        <f aca="false">IF(B191&lt;=TermYrs*12, LoanAmt-SUMIFS($E$5:E191, $B$5:B191, "&lt;="&amp;B191), "")</f>
        <v>196830.967222465</v>
      </c>
    </row>
    <row r="192" customFormat="false" ht="15" hidden="false" customHeight="false" outlineLevel="0" collapsed="false">
      <c r="B192" s="30" t="n">
        <v>188</v>
      </c>
      <c r="C192" s="31" t="n">
        <f aca="false">IF(B192&lt;=TermYrs*12, -PMT(IntRate/12, TermYrs*12, LoanAmt), "")</f>
        <v>2308.84282410265</v>
      </c>
      <c r="D192" s="31" t="n">
        <f aca="false">IF(B192&lt;=TermYrs*12, -IPMT(IntRate/12, B192, TermYrs*12, LoanAmt), "")</f>
        <v>1025.16128761702</v>
      </c>
      <c r="E192" s="31" t="n">
        <f aca="false">IF(B192&lt;=TermYrs*12, -PPMT(IntRate/12, B192, TermYrs*12, LoanAmt), "")</f>
        <v>1283.68153648563</v>
      </c>
      <c r="F192" s="31" t="n">
        <f aca="false">IF(B192&lt;=TermYrs*12, LoanAmt-SUMIFS($E$5:E192, $B$5:B192, "&lt;="&amp;B192), "")</f>
        <v>195547.28568598</v>
      </c>
    </row>
    <row r="193" customFormat="false" ht="15" hidden="false" customHeight="false" outlineLevel="0" collapsed="false">
      <c r="B193" s="30" t="n">
        <v>189</v>
      </c>
      <c r="C193" s="31" t="n">
        <f aca="false">IF(B193&lt;=TermYrs*12, -PMT(IntRate/12, TermYrs*12, LoanAmt), "")</f>
        <v>2308.84282410265</v>
      </c>
      <c r="D193" s="31" t="n">
        <f aca="false">IF(B193&lt;=TermYrs*12, -IPMT(IntRate/12, B193, TermYrs*12, LoanAmt), "")</f>
        <v>1018.47544628116</v>
      </c>
      <c r="E193" s="31" t="n">
        <f aca="false">IF(B193&lt;=TermYrs*12, -PPMT(IntRate/12, B193, TermYrs*12, LoanAmt), "")</f>
        <v>1290.3673778215</v>
      </c>
      <c r="F193" s="31" t="n">
        <f aca="false">IF(B193&lt;=TermYrs*12, LoanAmt-SUMIFS($E$5:E193, $B$5:B193, "&lt;="&amp;B193), "")</f>
        <v>194256.918308158</v>
      </c>
    </row>
    <row r="194" customFormat="false" ht="15" hidden="false" customHeight="false" outlineLevel="0" collapsed="false">
      <c r="B194" s="30" t="n">
        <v>190</v>
      </c>
      <c r="C194" s="31" t="n">
        <f aca="false">IF(B194&lt;=TermYrs*12, -PMT(IntRate/12, TermYrs*12, LoanAmt), "")</f>
        <v>2308.84282410265</v>
      </c>
      <c r="D194" s="31" t="n">
        <f aca="false">IF(B194&lt;=TermYrs*12, -IPMT(IntRate/12, B194, TermYrs*12, LoanAmt), "")</f>
        <v>1011.754782855</v>
      </c>
      <c r="E194" s="31" t="n">
        <f aca="false">IF(B194&lt;=TermYrs*12, -PPMT(IntRate/12, B194, TermYrs*12, LoanAmt), "")</f>
        <v>1297.08804124765</v>
      </c>
      <c r="F194" s="31" t="n">
        <f aca="false">IF(B194&lt;=TermYrs*12, LoanAmt-SUMIFS($E$5:E194, $B$5:B194, "&lt;="&amp;B194), "")</f>
        <v>192959.830266911</v>
      </c>
    </row>
    <row r="195" customFormat="false" ht="15" hidden="false" customHeight="false" outlineLevel="0" collapsed="false">
      <c r="B195" s="30" t="n">
        <v>191</v>
      </c>
      <c r="C195" s="31" t="n">
        <f aca="false">IF(B195&lt;=TermYrs*12, -PMT(IntRate/12, TermYrs*12, LoanAmt), "")</f>
        <v>2308.84282410265</v>
      </c>
      <c r="D195" s="31" t="n">
        <f aca="false">IF(B195&lt;=TermYrs*12, -IPMT(IntRate/12, B195, TermYrs*12, LoanAmt), "")</f>
        <v>1004.9991159735</v>
      </c>
      <c r="E195" s="31" t="n">
        <f aca="false">IF(B195&lt;=TermYrs*12, -PPMT(IntRate/12, B195, TermYrs*12, LoanAmt), "")</f>
        <v>1303.84370812915</v>
      </c>
      <c r="F195" s="31" t="n">
        <f aca="false">IF(B195&lt;=TermYrs*12, LoanAmt-SUMIFS($E$5:E195, $B$5:B195, "&lt;="&amp;B195), "")</f>
        <v>191655.986558781</v>
      </c>
    </row>
    <row r="196" customFormat="false" ht="15" hidden="false" customHeight="false" outlineLevel="0" collapsed="false">
      <c r="B196" s="30" t="n">
        <v>192</v>
      </c>
      <c r="C196" s="31" t="n">
        <f aca="false">IF(B196&lt;=TermYrs*12, -PMT(IntRate/12, TermYrs*12, LoanAmt), "")</f>
        <v>2308.84282410265</v>
      </c>
      <c r="D196" s="31" t="n">
        <f aca="false">IF(B196&lt;=TermYrs*12, -IPMT(IntRate/12, B196, TermYrs*12, LoanAmt), "")</f>
        <v>998.208263326998</v>
      </c>
      <c r="E196" s="31" t="n">
        <f aca="false">IF(B196&lt;=TermYrs*12, -PPMT(IntRate/12, B196, TermYrs*12, LoanAmt), "")</f>
        <v>1310.63456077565</v>
      </c>
      <c r="F196" s="31" t="n">
        <f aca="false">IF(B196&lt;=TermYrs*12, LoanAmt-SUMIFS($E$5:E196, $B$5:B196, "&lt;="&amp;B196), "")</f>
        <v>190345.351998006</v>
      </c>
    </row>
    <row r="197" customFormat="false" ht="15" hidden="false" customHeight="false" outlineLevel="0" collapsed="false">
      <c r="B197" s="30" t="n">
        <v>193</v>
      </c>
      <c r="C197" s="31" t="n">
        <f aca="false">IF(B197&lt;=TermYrs*12, -PMT(IntRate/12, TermYrs*12, LoanAmt), "")</f>
        <v>2308.84282410265</v>
      </c>
      <c r="D197" s="31" t="n">
        <f aca="false">IF(B197&lt;=TermYrs*12, -IPMT(IntRate/12, B197, TermYrs*12, LoanAmt), "")</f>
        <v>991.382041656291</v>
      </c>
      <c r="E197" s="31" t="n">
        <f aca="false">IF(B197&lt;=TermYrs*12, -PPMT(IntRate/12, B197, TermYrs*12, LoanAmt), "")</f>
        <v>1317.46078244636</v>
      </c>
      <c r="F197" s="31" t="n">
        <f aca="false">IF(B197&lt;=TermYrs*12, LoanAmt-SUMIFS($E$5:E197, $B$5:B197, "&lt;="&amp;B197), "")</f>
        <v>189027.891215559</v>
      </c>
    </row>
    <row r="198" customFormat="false" ht="15" hidden="false" customHeight="false" outlineLevel="0" collapsed="false">
      <c r="B198" s="30" t="n">
        <v>194</v>
      </c>
      <c r="C198" s="31" t="n">
        <f aca="false">IF(B198&lt;=TermYrs*12, -PMT(IntRate/12, TermYrs*12, LoanAmt), "")</f>
        <v>2308.84282410265</v>
      </c>
      <c r="D198" s="31" t="n">
        <f aca="false">IF(B198&lt;=TermYrs*12, -IPMT(IntRate/12, B198, TermYrs*12, LoanAmt), "")</f>
        <v>984.520266747717</v>
      </c>
      <c r="E198" s="31" t="n">
        <f aca="false">IF(B198&lt;=TermYrs*12, -PPMT(IntRate/12, B198, TermYrs*12, LoanAmt), "")</f>
        <v>1324.32255735493</v>
      </c>
      <c r="F198" s="31" t="n">
        <f aca="false">IF(B198&lt;=TermYrs*12, LoanAmt-SUMIFS($E$5:E198, $B$5:B198, "&lt;="&amp;B198), "")</f>
        <v>187703.568658204</v>
      </c>
    </row>
    <row r="199" customFormat="false" ht="15" hidden="false" customHeight="false" outlineLevel="0" collapsed="false">
      <c r="B199" s="30" t="n">
        <v>195</v>
      </c>
      <c r="C199" s="31" t="n">
        <f aca="false">IF(B199&lt;=TermYrs*12, -PMT(IntRate/12, TermYrs*12, LoanAmt), "")</f>
        <v>2308.84282410265</v>
      </c>
      <c r="D199" s="31" t="n">
        <f aca="false">IF(B199&lt;=TermYrs*12, -IPMT(IntRate/12, B199, TermYrs*12, LoanAmt), "")</f>
        <v>977.62275342816</v>
      </c>
      <c r="E199" s="31" t="n">
        <f aca="false">IF(B199&lt;=TermYrs*12, -PPMT(IntRate/12, B199, TermYrs*12, LoanAmt), "")</f>
        <v>1331.22007067449</v>
      </c>
      <c r="F199" s="31" t="n">
        <f aca="false">IF(B199&lt;=TermYrs*12, LoanAmt-SUMIFS($E$5:E199, $B$5:B199, "&lt;="&amp;B199), "")</f>
        <v>186372.34858753</v>
      </c>
    </row>
    <row r="200" customFormat="false" ht="15" hidden="false" customHeight="false" outlineLevel="0" collapsed="false">
      <c r="B200" s="30" t="n">
        <v>196</v>
      </c>
      <c r="C200" s="31" t="n">
        <f aca="false">IF(B200&lt;=TermYrs*12, -PMT(IntRate/12, TermYrs*12, LoanAmt), "")</f>
        <v>2308.84282410265</v>
      </c>
      <c r="D200" s="31" t="n">
        <f aca="false">IF(B200&lt;=TermYrs*12, -IPMT(IntRate/12, B200, TermYrs*12, LoanAmt), "")</f>
        <v>970.689315560064</v>
      </c>
      <c r="E200" s="31" t="n">
        <f aca="false">IF(B200&lt;=TermYrs*12, -PPMT(IntRate/12, B200, TermYrs*12, LoanAmt), "")</f>
        <v>1338.15350854259</v>
      </c>
      <c r="F200" s="31" t="n">
        <f aca="false">IF(B200&lt;=TermYrs*12, LoanAmt-SUMIFS($E$5:E200, $B$5:B200, "&lt;="&amp;B200), "")</f>
        <v>185034.195078987</v>
      </c>
    </row>
    <row r="201" customFormat="false" ht="15" hidden="false" customHeight="false" outlineLevel="0" collapsed="false">
      <c r="B201" s="30" t="n">
        <v>197</v>
      </c>
      <c r="C201" s="31" t="n">
        <f aca="false">IF(B201&lt;=TermYrs*12, -PMT(IntRate/12, TermYrs*12, LoanAmt), "")</f>
        <v>2308.84282410265</v>
      </c>
      <c r="D201" s="31" t="n">
        <f aca="false">IF(B201&lt;=TermYrs*12, -IPMT(IntRate/12, B201, TermYrs*12, LoanAmt), "")</f>
        <v>963.719766036405</v>
      </c>
      <c r="E201" s="31" t="n">
        <f aca="false">IF(B201&lt;=TermYrs*12, -PPMT(IntRate/12, B201, TermYrs*12, LoanAmt), "")</f>
        <v>1345.12305806625</v>
      </c>
      <c r="F201" s="31" t="n">
        <f aca="false">IF(B201&lt;=TermYrs*12, LoanAmt-SUMIFS($E$5:E201, $B$5:B201, "&lt;="&amp;B201), "")</f>
        <v>183689.072020921</v>
      </c>
    </row>
    <row r="202" customFormat="false" ht="15" hidden="false" customHeight="false" outlineLevel="0" collapsed="false">
      <c r="B202" s="30" t="n">
        <v>198</v>
      </c>
      <c r="C202" s="31" t="n">
        <f aca="false">IF(B202&lt;=TermYrs*12, -PMT(IntRate/12, TermYrs*12, LoanAmt), "")</f>
        <v>2308.84282410265</v>
      </c>
      <c r="D202" s="31" t="n">
        <f aca="false">IF(B202&lt;=TermYrs*12, -IPMT(IntRate/12, B202, TermYrs*12, LoanAmt), "")</f>
        <v>956.713916775643</v>
      </c>
      <c r="E202" s="31" t="n">
        <f aca="false">IF(B202&lt;=TermYrs*12, -PPMT(IntRate/12, B202, TermYrs*12, LoanAmt), "")</f>
        <v>1352.12890732701</v>
      </c>
      <c r="F202" s="31" t="n">
        <f aca="false">IF(B202&lt;=TermYrs*12, LoanAmt-SUMIFS($E$5:E202, $B$5:B202, "&lt;="&amp;B202), "")</f>
        <v>182336.943113594</v>
      </c>
    </row>
    <row r="203" customFormat="false" ht="15" hidden="false" customHeight="false" outlineLevel="0" collapsed="false">
      <c r="B203" s="30" t="n">
        <v>199</v>
      </c>
      <c r="C203" s="31" t="n">
        <f aca="false">IF(B203&lt;=TermYrs*12, -PMT(IntRate/12, TermYrs*12, LoanAmt), "")</f>
        <v>2308.84282410265</v>
      </c>
      <c r="D203" s="31" t="n">
        <f aca="false">IF(B203&lt;=TermYrs*12, -IPMT(IntRate/12, B203, TermYrs*12, LoanAmt), "")</f>
        <v>949.671578716648</v>
      </c>
      <c r="E203" s="31" t="n">
        <f aca="false">IF(B203&lt;=TermYrs*12, -PPMT(IntRate/12, B203, TermYrs*12, LoanAmt), "")</f>
        <v>1359.171245386</v>
      </c>
      <c r="F203" s="31" t="n">
        <f aca="false">IF(B203&lt;=TermYrs*12, LoanAmt-SUMIFS($E$5:E203, $B$5:B203, "&lt;="&amp;B203), "")</f>
        <v>180977.771868208</v>
      </c>
    </row>
    <row r="204" customFormat="false" ht="15" hidden="false" customHeight="false" outlineLevel="0" collapsed="false">
      <c r="B204" s="30" t="n">
        <v>200</v>
      </c>
      <c r="C204" s="31" t="n">
        <f aca="false">IF(B204&lt;=TermYrs*12, -PMT(IntRate/12, TermYrs*12, LoanAmt), "")</f>
        <v>2308.84282410265</v>
      </c>
      <c r="D204" s="31" t="n">
        <f aca="false">IF(B204&lt;=TermYrs*12, -IPMT(IntRate/12, B204, TermYrs*12, LoanAmt), "")</f>
        <v>942.592561813596</v>
      </c>
      <c r="E204" s="31" t="n">
        <f aca="false">IF(B204&lt;=TermYrs*12, -PPMT(IntRate/12, B204, TermYrs*12, LoanAmt), "")</f>
        <v>1366.25026228906</v>
      </c>
      <c r="F204" s="31" t="n">
        <f aca="false">IF(B204&lt;=TermYrs*12, LoanAmt-SUMIFS($E$5:E204, $B$5:B204, "&lt;="&amp;B204), "")</f>
        <v>179611.521605919</v>
      </c>
    </row>
    <row r="205" customFormat="false" ht="15" hidden="false" customHeight="false" outlineLevel="0" collapsed="false">
      <c r="B205" s="30" t="n">
        <v>201</v>
      </c>
      <c r="C205" s="31" t="n">
        <f aca="false">IF(B205&lt;=TermYrs*12, -PMT(IntRate/12, TermYrs*12, LoanAmt), "")</f>
        <v>2308.84282410265</v>
      </c>
      <c r="D205" s="31" t="n">
        <f aca="false">IF(B205&lt;=TermYrs*12, -IPMT(IntRate/12, B205, TermYrs*12, LoanAmt), "")</f>
        <v>935.476675030841</v>
      </c>
      <c r="E205" s="31" t="n">
        <f aca="false">IF(B205&lt;=TermYrs*12, -PPMT(IntRate/12, B205, TermYrs*12, LoanAmt), "")</f>
        <v>1373.36614907181</v>
      </c>
      <c r="F205" s="31" t="n">
        <f aca="false">IF(B205&lt;=TermYrs*12, LoanAmt-SUMIFS($E$5:E205, $B$5:B205, "&lt;="&amp;B205), "")</f>
        <v>178238.155456847</v>
      </c>
    </row>
    <row r="206" customFormat="false" ht="15" hidden="false" customHeight="false" outlineLevel="0" collapsed="false">
      <c r="B206" s="30" t="n">
        <v>202</v>
      </c>
      <c r="C206" s="31" t="n">
        <f aca="false">IF(B206&lt;=TermYrs*12, -PMT(IntRate/12, TermYrs*12, LoanAmt), "")</f>
        <v>2308.84282410265</v>
      </c>
      <c r="D206" s="31" t="n">
        <f aca="false">IF(B206&lt;=TermYrs*12, -IPMT(IntRate/12, B206, TermYrs*12, LoanAmt), "")</f>
        <v>928.32372633776</v>
      </c>
      <c r="E206" s="31" t="n">
        <f aca="false">IF(B206&lt;=TermYrs*12, -PPMT(IntRate/12, B206, TermYrs*12, LoanAmt), "")</f>
        <v>1380.51909776489</v>
      </c>
      <c r="F206" s="31" t="n">
        <f aca="false">IF(B206&lt;=TermYrs*12, LoanAmt-SUMIFS($E$5:E206, $B$5:B206, "&lt;="&amp;B206), "")</f>
        <v>176857.636359082</v>
      </c>
    </row>
    <row r="207" customFormat="false" ht="15" hidden="false" customHeight="false" outlineLevel="0" collapsed="false">
      <c r="B207" s="30" t="n">
        <v>203</v>
      </c>
      <c r="C207" s="31" t="n">
        <f aca="false">IF(B207&lt;=TermYrs*12, -PMT(IntRate/12, TermYrs*12, LoanAmt), "")</f>
        <v>2308.84282410265</v>
      </c>
      <c r="D207" s="31" t="n">
        <f aca="false">IF(B207&lt;=TermYrs*12, -IPMT(IntRate/12, B207, TermYrs*12, LoanAmt), "")</f>
        <v>921.133522703566</v>
      </c>
      <c r="E207" s="31" t="n">
        <f aca="false">IF(B207&lt;=TermYrs*12, -PPMT(IntRate/12, B207, TermYrs*12, LoanAmt), "")</f>
        <v>1387.70930139908</v>
      </c>
      <c r="F207" s="31" t="n">
        <f aca="false">IF(B207&lt;=TermYrs*12, LoanAmt-SUMIFS($E$5:E207, $B$5:B207, "&lt;="&amp;B207), "")</f>
        <v>175469.927057683</v>
      </c>
    </row>
    <row r="208" customFormat="false" ht="15" hidden="false" customHeight="false" outlineLevel="0" collapsed="false">
      <c r="B208" s="30" t="n">
        <v>204</v>
      </c>
      <c r="C208" s="31" t="n">
        <f aca="false">IF(B208&lt;=TermYrs*12, -PMT(IntRate/12, TermYrs*12, LoanAmt), "")</f>
        <v>2308.84282410265</v>
      </c>
      <c r="D208" s="31" t="n">
        <f aca="false">IF(B208&lt;=TermYrs*12, -IPMT(IntRate/12, B208, TermYrs*12, LoanAmt), "")</f>
        <v>913.905870092113</v>
      </c>
      <c r="E208" s="31" t="n">
        <f aca="false">IF(B208&lt;=TermYrs*12, -PPMT(IntRate/12, B208, TermYrs*12, LoanAmt), "")</f>
        <v>1394.93695401054</v>
      </c>
      <c r="F208" s="31" t="n">
        <f aca="false">IF(B208&lt;=TermYrs*12, LoanAmt-SUMIFS($E$5:E208, $B$5:B208, "&lt;="&amp;B208), "")</f>
        <v>174074.990103673</v>
      </c>
    </row>
    <row r="209" customFormat="false" ht="15" hidden="false" customHeight="false" outlineLevel="0" collapsed="false">
      <c r="B209" s="30" t="n">
        <v>205</v>
      </c>
      <c r="C209" s="31" t="n">
        <f aca="false">IF(B209&lt;=TermYrs*12, -PMT(IntRate/12, TermYrs*12, LoanAmt), "")</f>
        <v>2308.84282410265</v>
      </c>
      <c r="D209" s="31" t="n">
        <f aca="false">IF(B209&lt;=TermYrs*12, -IPMT(IntRate/12, B209, TermYrs*12, LoanAmt), "")</f>
        <v>906.640573456642</v>
      </c>
      <c r="E209" s="31" t="n">
        <f aca="false">IF(B209&lt;=TermYrs*12, -PPMT(IntRate/12, B209, TermYrs*12, LoanAmt), "")</f>
        <v>1402.20225064601</v>
      </c>
      <c r="F209" s="31" t="n">
        <f aca="false">IF(B209&lt;=TermYrs*12, LoanAmt-SUMIFS($E$5:E209, $B$5:B209, "&lt;="&amp;B209), "")</f>
        <v>172672.787853027</v>
      </c>
    </row>
    <row r="210" customFormat="false" ht="15" hidden="false" customHeight="false" outlineLevel="0" collapsed="false">
      <c r="B210" s="30" t="n">
        <v>206</v>
      </c>
      <c r="C210" s="31" t="n">
        <f aca="false">IF(B210&lt;=TermYrs*12, -PMT(IntRate/12, TermYrs*12, LoanAmt), "")</f>
        <v>2308.84282410265</v>
      </c>
      <c r="D210" s="31" t="n">
        <f aca="false">IF(B210&lt;=TermYrs*12, -IPMT(IntRate/12, B210, TermYrs*12, LoanAmt), "")</f>
        <v>899.337436734528</v>
      </c>
      <c r="E210" s="31" t="n">
        <f aca="false">IF(B210&lt;=TermYrs*12, -PPMT(IntRate/12, B210, TermYrs*12, LoanAmt), "")</f>
        <v>1409.50538736812</v>
      </c>
      <c r="F210" s="31" t="n">
        <f aca="false">IF(B210&lt;=TermYrs*12, LoanAmt-SUMIFS($E$5:E210, $B$5:B210, "&lt;="&amp;B210), "")</f>
        <v>171263.282465659</v>
      </c>
    </row>
    <row r="211" customFormat="false" ht="15" hidden="false" customHeight="false" outlineLevel="0" collapsed="false">
      <c r="B211" s="30" t="n">
        <v>207</v>
      </c>
      <c r="C211" s="31" t="n">
        <f aca="false">IF(B211&lt;=TermYrs*12, -PMT(IntRate/12, TermYrs*12, LoanAmt), "")</f>
        <v>2308.84282410265</v>
      </c>
      <c r="D211" s="31" t="n">
        <f aca="false">IF(B211&lt;=TermYrs*12, -IPMT(IntRate/12, B211, TermYrs*12, LoanAmt), "")</f>
        <v>891.996262841985</v>
      </c>
      <c r="E211" s="31" t="n">
        <f aca="false">IF(B211&lt;=TermYrs*12, -PPMT(IntRate/12, B211, TermYrs*12, LoanAmt), "")</f>
        <v>1416.84656126067</v>
      </c>
      <c r="F211" s="31" t="n">
        <f aca="false">IF(B211&lt;=TermYrs*12, LoanAmt-SUMIFS($E$5:E211, $B$5:B211, "&lt;="&amp;B211), "")</f>
        <v>169846.435904398</v>
      </c>
    </row>
    <row r="212" customFormat="false" ht="15" hidden="false" customHeight="false" outlineLevel="0" collapsed="false">
      <c r="B212" s="30" t="n">
        <v>208</v>
      </c>
      <c r="C212" s="31" t="n">
        <f aca="false">IF(B212&lt;=TermYrs*12, -PMT(IntRate/12, TermYrs*12, LoanAmt), "")</f>
        <v>2308.84282410265</v>
      </c>
      <c r="D212" s="31" t="n">
        <f aca="false">IF(B212&lt;=TermYrs*12, -IPMT(IntRate/12, B212, TermYrs*12, LoanAmt), "")</f>
        <v>884.616853668753</v>
      </c>
      <c r="E212" s="31" t="n">
        <f aca="false">IF(B212&lt;=TermYrs*12, -PPMT(IntRate/12, B212, TermYrs*12, LoanAmt), "")</f>
        <v>1424.2259704339</v>
      </c>
      <c r="F212" s="31" t="n">
        <f aca="false">IF(B212&lt;=TermYrs*12, LoanAmt-SUMIFS($E$5:E212, $B$5:B212, "&lt;="&amp;B212), "")</f>
        <v>168422.209933964</v>
      </c>
    </row>
    <row r="213" customFormat="false" ht="15" hidden="false" customHeight="false" outlineLevel="0" collapsed="false">
      <c r="B213" s="30" t="n">
        <v>209</v>
      </c>
      <c r="C213" s="31" t="n">
        <f aca="false">IF(B213&lt;=TermYrs*12, -PMT(IntRate/12, TermYrs*12, LoanAmt), "")</f>
        <v>2308.84282410265</v>
      </c>
      <c r="D213" s="31" t="n">
        <f aca="false">IF(B213&lt;=TermYrs*12, -IPMT(IntRate/12, B213, TermYrs*12, LoanAmt), "")</f>
        <v>877.199010072743</v>
      </c>
      <c r="E213" s="31" t="n">
        <f aca="false">IF(B213&lt;=TermYrs*12, -PPMT(IntRate/12, B213, TermYrs*12, LoanAmt), "")</f>
        <v>1431.64381402991</v>
      </c>
      <c r="F213" s="31" t="n">
        <f aca="false">IF(B213&lt;=TermYrs*12, LoanAmt-SUMIFS($E$5:E213, $B$5:B213, "&lt;="&amp;B213), "")</f>
        <v>166990.566119934</v>
      </c>
    </row>
    <row r="214" customFormat="false" ht="15" hidden="false" customHeight="false" outlineLevel="0" collapsed="false">
      <c r="B214" s="30" t="n">
        <v>210</v>
      </c>
      <c r="C214" s="31" t="n">
        <f aca="false">IF(B214&lt;=TermYrs*12, -PMT(IntRate/12, TermYrs*12, LoanAmt), "")</f>
        <v>2308.84282410265</v>
      </c>
      <c r="D214" s="31" t="n">
        <f aca="false">IF(B214&lt;=TermYrs*12, -IPMT(IntRate/12, B214, TermYrs*12, LoanAmt), "")</f>
        <v>869.742531874671</v>
      </c>
      <c r="E214" s="31" t="n">
        <f aca="false">IF(B214&lt;=TermYrs*12, -PPMT(IntRate/12, B214, TermYrs*12, LoanAmt), "")</f>
        <v>1439.10029222798</v>
      </c>
      <c r="F214" s="31" t="n">
        <f aca="false">IF(B214&lt;=TermYrs*12, LoanAmt-SUMIFS($E$5:E214, $B$5:B214, "&lt;="&amp;B214), "")</f>
        <v>165551.465827706</v>
      </c>
    </row>
    <row r="215" customFormat="false" ht="15" hidden="false" customHeight="false" outlineLevel="0" collapsed="false">
      <c r="B215" s="30" t="n">
        <v>211</v>
      </c>
      <c r="C215" s="31" t="n">
        <f aca="false">IF(B215&lt;=TermYrs*12, -PMT(IntRate/12, TermYrs*12, LoanAmt), "")</f>
        <v>2308.84282410265</v>
      </c>
      <c r="D215" s="31" t="n">
        <f aca="false">IF(B215&lt;=TermYrs*12, -IPMT(IntRate/12, B215, TermYrs*12, LoanAmt), "")</f>
        <v>862.24721785265</v>
      </c>
      <c r="E215" s="31" t="n">
        <f aca="false">IF(B215&lt;=TermYrs*12, -PPMT(IntRate/12, B215, TermYrs*12, LoanAmt), "")</f>
        <v>1446.59560625</v>
      </c>
      <c r="F215" s="31" t="n">
        <f aca="false">IF(B215&lt;=TermYrs*12, LoanAmt-SUMIFS($E$5:E215, $B$5:B215, "&lt;="&amp;B215), "")</f>
        <v>164104.870221456</v>
      </c>
    </row>
    <row r="216" customFormat="false" ht="15" hidden="false" customHeight="false" outlineLevel="0" collapsed="false">
      <c r="B216" s="30" t="n">
        <v>212</v>
      </c>
      <c r="C216" s="31" t="n">
        <f aca="false">IF(B216&lt;=TermYrs*12, -PMT(IntRate/12, TermYrs*12, LoanAmt), "")</f>
        <v>2308.84282410265</v>
      </c>
      <c r="D216" s="31" t="n">
        <f aca="false">IF(B216&lt;=TermYrs*12, -IPMT(IntRate/12, B216, TermYrs*12, LoanAmt), "")</f>
        <v>854.712865736764</v>
      </c>
      <c r="E216" s="31" t="n">
        <f aca="false">IF(B216&lt;=TermYrs*12, -PPMT(IntRate/12, B216, TermYrs*12, LoanAmt), "")</f>
        <v>1454.12995836589</v>
      </c>
      <c r="F216" s="31" t="n">
        <f aca="false">IF(B216&lt;=TermYrs*12, LoanAmt-SUMIFS($E$5:E216, $B$5:B216, "&lt;="&amp;B216), "")</f>
        <v>162650.74026309</v>
      </c>
    </row>
    <row r="217" customFormat="false" ht="15" hidden="false" customHeight="false" outlineLevel="0" collapsed="false">
      <c r="B217" s="30" t="n">
        <v>213</v>
      </c>
      <c r="C217" s="31" t="n">
        <f aca="false">IF(B217&lt;=TermYrs*12, -PMT(IntRate/12, TermYrs*12, LoanAmt), "")</f>
        <v>2308.84282410265</v>
      </c>
      <c r="D217" s="31" t="n">
        <f aca="false">IF(B217&lt;=TermYrs*12, -IPMT(IntRate/12, B217, TermYrs*12, LoanAmt), "")</f>
        <v>847.13927220361</v>
      </c>
      <c r="E217" s="31" t="n">
        <f aca="false">IF(B217&lt;=TermYrs*12, -PPMT(IntRate/12, B217, TermYrs*12, LoanAmt), "")</f>
        <v>1461.70355189904</v>
      </c>
      <c r="F217" s="31" t="n">
        <f aca="false">IF(B217&lt;=TermYrs*12, LoanAmt-SUMIFS($E$5:E217, $B$5:B217, "&lt;="&amp;B217), "")</f>
        <v>161189.036711191</v>
      </c>
    </row>
    <row r="218" customFormat="false" ht="15" hidden="false" customHeight="false" outlineLevel="0" collapsed="false">
      <c r="B218" s="30" t="n">
        <v>214</v>
      </c>
      <c r="C218" s="31" t="n">
        <f aca="false">IF(B218&lt;=TermYrs*12, -PMT(IntRate/12, TermYrs*12, LoanAmt), "")</f>
        <v>2308.84282410265</v>
      </c>
      <c r="D218" s="31" t="n">
        <f aca="false">IF(B218&lt;=TermYrs*12, -IPMT(IntRate/12, B218, TermYrs*12, LoanAmt), "")</f>
        <v>839.526232870802</v>
      </c>
      <c r="E218" s="31" t="n">
        <f aca="false">IF(B218&lt;=TermYrs*12, -PPMT(IntRate/12, B218, TermYrs*12, LoanAmt), "")</f>
        <v>1469.31659123185</v>
      </c>
      <c r="F218" s="31" t="n">
        <f aca="false">IF(B218&lt;=TermYrs*12, LoanAmt-SUMIFS($E$5:E218, $B$5:B218, "&lt;="&amp;B218), "")</f>
        <v>159719.720119959</v>
      </c>
    </row>
    <row r="219" customFormat="false" ht="15" hidden="false" customHeight="false" outlineLevel="0" collapsed="false">
      <c r="B219" s="30" t="n">
        <v>215</v>
      </c>
      <c r="C219" s="31" t="n">
        <f aca="false">IF(B219&lt;=TermYrs*12, -PMT(IntRate/12, TermYrs*12, LoanAmt), "")</f>
        <v>2308.84282410265</v>
      </c>
      <c r="D219" s="31" t="n">
        <f aca="false">IF(B219&lt;=TermYrs*12, -IPMT(IntRate/12, B219, TermYrs*12, LoanAmt), "")</f>
        <v>831.873542291468</v>
      </c>
      <c r="E219" s="31" t="n">
        <f aca="false">IF(B219&lt;=TermYrs*12, -PPMT(IntRate/12, B219, TermYrs*12, LoanAmt), "")</f>
        <v>1476.96928181118</v>
      </c>
      <c r="F219" s="31" t="n">
        <f aca="false">IF(B219&lt;=TermYrs*12, LoanAmt-SUMIFS($E$5:E219, $B$5:B219, "&lt;="&amp;B219), "")</f>
        <v>158242.750838148</v>
      </c>
    </row>
    <row r="220" customFormat="false" ht="15" hidden="false" customHeight="false" outlineLevel="0" collapsed="false">
      <c r="B220" s="30" t="n">
        <v>216</v>
      </c>
      <c r="C220" s="31" t="n">
        <f aca="false">IF(B220&lt;=TermYrs*12, -PMT(IntRate/12, TermYrs*12, LoanAmt), "")</f>
        <v>2308.84282410265</v>
      </c>
      <c r="D220" s="31" t="n">
        <f aca="false">IF(B220&lt;=TermYrs*12, -IPMT(IntRate/12, B220, TermYrs*12, LoanAmt), "")</f>
        <v>824.180993948703</v>
      </c>
      <c r="E220" s="31" t="n">
        <f aca="false">IF(B220&lt;=TermYrs*12, -PPMT(IntRate/12, B220, TermYrs*12, LoanAmt), "")</f>
        <v>1484.66183015395</v>
      </c>
      <c r="F220" s="31" t="n">
        <f aca="false">IF(B220&lt;=TermYrs*12, LoanAmt-SUMIFS($E$5:E220, $B$5:B220, "&lt;="&amp;B220), "")</f>
        <v>156758.089007994</v>
      </c>
    </row>
    <row r="221" customFormat="false" ht="15" hidden="false" customHeight="false" outlineLevel="0" collapsed="false">
      <c r="B221" s="30" t="n">
        <v>217</v>
      </c>
      <c r="C221" s="31" t="n">
        <f aca="false">IF(B221&lt;=TermYrs*12, -PMT(IntRate/12, TermYrs*12, LoanAmt), "")</f>
        <v>2308.84282410265</v>
      </c>
      <c r="D221" s="31" t="n">
        <f aca="false">IF(B221&lt;=TermYrs*12, -IPMT(IntRate/12, B221, TermYrs*12, LoanAmt), "")</f>
        <v>816.448380249984</v>
      </c>
      <c r="E221" s="31" t="n">
        <f aca="false">IF(B221&lt;=TermYrs*12, -PPMT(IntRate/12, B221, TermYrs*12, LoanAmt), "")</f>
        <v>1492.39444385267</v>
      </c>
      <c r="F221" s="31" t="n">
        <f aca="false">IF(B221&lt;=TermYrs*12, LoanAmt-SUMIFS($E$5:E221, $B$5:B221, "&lt;="&amp;B221), "")</f>
        <v>155265.694564142</v>
      </c>
    </row>
    <row r="222" customFormat="false" ht="15" hidden="false" customHeight="false" outlineLevel="0" collapsed="false">
      <c r="B222" s="30" t="n">
        <v>218</v>
      </c>
      <c r="C222" s="31" t="n">
        <f aca="false">IF(B222&lt;=TermYrs*12, -PMT(IntRate/12, TermYrs*12, LoanAmt), "")</f>
        <v>2308.84282410265</v>
      </c>
      <c r="D222" s="31" t="n">
        <f aca="false">IF(B222&lt;=TermYrs*12, -IPMT(IntRate/12, B222, TermYrs*12, LoanAmt), "")</f>
        <v>808.675492521585</v>
      </c>
      <c r="E222" s="31" t="n">
        <f aca="false">IF(B222&lt;=TermYrs*12, -PPMT(IntRate/12, B222, TermYrs*12, LoanAmt), "")</f>
        <v>1500.16733158107</v>
      </c>
      <c r="F222" s="31" t="n">
        <f aca="false">IF(B222&lt;=TermYrs*12, LoanAmt-SUMIFS($E$5:E222, $B$5:B222, "&lt;="&amp;B222), "")</f>
        <v>153765.527232561</v>
      </c>
    </row>
    <row r="223" customFormat="false" ht="15" hidden="false" customHeight="false" outlineLevel="0" collapsed="false">
      <c r="B223" s="30" t="n">
        <v>219</v>
      </c>
      <c r="C223" s="31" t="n">
        <f aca="false">IF(B223&lt;=TermYrs*12, -PMT(IntRate/12, TermYrs*12, LoanAmt), "")</f>
        <v>2308.84282410265</v>
      </c>
      <c r="D223" s="31" t="n">
        <f aca="false">IF(B223&lt;=TermYrs*12, -IPMT(IntRate/12, B223, TermYrs*12, LoanAmt), "")</f>
        <v>800.862121002934</v>
      </c>
      <c r="E223" s="31" t="n">
        <f aca="false">IF(B223&lt;=TermYrs*12, -PPMT(IntRate/12, B223, TermYrs*12, LoanAmt), "")</f>
        <v>1507.98070309972</v>
      </c>
      <c r="F223" s="31" t="n">
        <f aca="false">IF(B223&lt;=TermYrs*12, LoanAmt-SUMIFS($E$5:E223, $B$5:B223, "&lt;="&amp;B223), "")</f>
        <v>152257.546529461</v>
      </c>
    </row>
    <row r="224" customFormat="false" ht="15" hidden="false" customHeight="false" outlineLevel="0" collapsed="false">
      <c r="B224" s="30" t="n">
        <v>220</v>
      </c>
      <c r="C224" s="31" t="n">
        <f aca="false">IF(B224&lt;=TermYrs*12, -PMT(IntRate/12, TermYrs*12, LoanAmt), "")</f>
        <v>2308.84282410265</v>
      </c>
      <c r="D224" s="31" t="n">
        <f aca="false">IF(B224&lt;=TermYrs*12, -IPMT(IntRate/12, B224, TermYrs*12, LoanAmt), "")</f>
        <v>793.008054840956</v>
      </c>
      <c r="E224" s="31" t="n">
        <f aca="false">IF(B224&lt;=TermYrs*12, -PPMT(IntRate/12, B224, TermYrs*12, LoanAmt), "")</f>
        <v>1515.83476926169</v>
      </c>
      <c r="F224" s="31" t="n">
        <f aca="false">IF(B224&lt;=TermYrs*12, LoanAmt-SUMIFS($E$5:E224, $B$5:B224, "&lt;="&amp;B224), "")</f>
        <v>150741.711760199</v>
      </c>
    </row>
    <row r="225" customFormat="false" ht="15" hidden="false" customHeight="false" outlineLevel="0" collapsed="false">
      <c r="B225" s="30" t="n">
        <v>221</v>
      </c>
      <c r="C225" s="31" t="n">
        <f aca="false">IF(B225&lt;=TermYrs*12, -PMT(IntRate/12, TermYrs*12, LoanAmt), "")</f>
        <v>2308.84282410265</v>
      </c>
      <c r="D225" s="31" t="n">
        <f aca="false">IF(B225&lt;=TermYrs*12, -IPMT(IntRate/12, B225, TermYrs*12, LoanAmt), "")</f>
        <v>785.113082084385</v>
      </c>
      <c r="E225" s="31" t="n">
        <f aca="false">IF(B225&lt;=TermYrs*12, -PPMT(IntRate/12, B225, TermYrs*12, LoanAmt), "")</f>
        <v>1523.72974201827</v>
      </c>
      <c r="F225" s="31" t="n">
        <f aca="false">IF(B225&lt;=TermYrs*12, LoanAmt-SUMIFS($E$5:E225, $B$5:B225, "&lt;="&amp;B225), "")</f>
        <v>149217.982018181</v>
      </c>
    </row>
    <row r="226" customFormat="false" ht="15" hidden="false" customHeight="false" outlineLevel="0" collapsed="false">
      <c r="B226" s="30" t="n">
        <v>222</v>
      </c>
      <c r="C226" s="31" t="n">
        <f aca="false">IF(B226&lt;=TermYrs*12, -PMT(IntRate/12, TermYrs*12, LoanAmt), "")</f>
        <v>2308.84282410265</v>
      </c>
      <c r="D226" s="31" t="n">
        <f aca="false">IF(B226&lt;=TermYrs*12, -IPMT(IntRate/12, B226, TermYrs*12, LoanAmt), "")</f>
        <v>777.176989678041</v>
      </c>
      <c r="E226" s="31" t="n">
        <f aca="false">IF(B226&lt;=TermYrs*12, -PPMT(IntRate/12, B226, TermYrs*12, LoanAmt), "")</f>
        <v>1531.66583442461</v>
      </c>
      <c r="F226" s="31" t="n">
        <f aca="false">IF(B226&lt;=TermYrs*12, LoanAmt-SUMIFS($E$5:E226, $B$5:B226, "&lt;="&amp;B226), "")</f>
        <v>147686.316183756</v>
      </c>
    </row>
    <row r="227" customFormat="false" ht="15" hidden="false" customHeight="false" outlineLevel="0" collapsed="false">
      <c r="B227" s="30" t="n">
        <v>223</v>
      </c>
      <c r="C227" s="31" t="n">
        <f aca="false">IF(B227&lt;=TermYrs*12, -PMT(IntRate/12, TermYrs*12, LoanAmt), "")</f>
        <v>2308.84282410265</v>
      </c>
      <c r="D227" s="31" t="n">
        <f aca="false">IF(B227&lt;=TermYrs*12, -IPMT(IntRate/12, B227, TermYrs*12, LoanAmt), "")</f>
        <v>769.199563457079</v>
      </c>
      <c r="E227" s="31" t="n">
        <f aca="false">IF(B227&lt;=TermYrs*12, -PPMT(IntRate/12, B227, TermYrs*12, LoanAmt), "")</f>
        <v>1539.64326064557</v>
      </c>
      <c r="F227" s="31" t="n">
        <f aca="false">IF(B227&lt;=TermYrs*12, LoanAmt-SUMIFS($E$5:E227, $B$5:B227, "&lt;="&amp;B227), "")</f>
        <v>146146.672923111</v>
      </c>
    </row>
    <row r="228" customFormat="false" ht="15" hidden="false" customHeight="false" outlineLevel="0" collapsed="false">
      <c r="B228" s="30" t="n">
        <v>224</v>
      </c>
      <c r="C228" s="31" t="n">
        <f aca="false">IF(B228&lt;=TermYrs*12, -PMT(IntRate/12, TermYrs*12, LoanAmt), "")</f>
        <v>2308.84282410265</v>
      </c>
      <c r="D228" s="31" t="n">
        <f aca="false">IF(B228&lt;=TermYrs*12, -IPMT(IntRate/12, B228, TermYrs*12, LoanAmt), "")</f>
        <v>761.180588141217</v>
      </c>
      <c r="E228" s="31" t="n">
        <f aca="false">IF(B228&lt;=TermYrs*12, -PPMT(IntRate/12, B228, TermYrs*12, LoanAmt), "")</f>
        <v>1547.66223596143</v>
      </c>
      <c r="F228" s="31" t="n">
        <f aca="false">IF(B228&lt;=TermYrs*12, LoanAmt-SUMIFS($E$5:E228, $B$5:B228, "&lt;="&amp;B228), "")</f>
        <v>144599.010687149</v>
      </c>
    </row>
    <row r="229" customFormat="false" ht="15" hidden="false" customHeight="false" outlineLevel="0" collapsed="false">
      <c r="B229" s="30" t="n">
        <v>225</v>
      </c>
      <c r="C229" s="31" t="n">
        <f aca="false">IF(B229&lt;=TermYrs*12, -PMT(IntRate/12, TermYrs*12, LoanAmt), "")</f>
        <v>2308.84282410265</v>
      </c>
      <c r="D229" s="31" t="n">
        <f aca="false">IF(B229&lt;=TermYrs*12, -IPMT(IntRate/12, B229, TermYrs*12, LoanAmt), "")</f>
        <v>753.119847328917</v>
      </c>
      <c r="E229" s="31" t="n">
        <f aca="false">IF(B229&lt;=TermYrs*12, -PPMT(IntRate/12, B229, TermYrs*12, LoanAmt), "")</f>
        <v>1555.72297677373</v>
      </c>
      <c r="F229" s="31" t="n">
        <f aca="false">IF(B229&lt;=TermYrs*12, LoanAmt-SUMIFS($E$5:E229, $B$5:B229, "&lt;="&amp;B229), "")</f>
        <v>143043.287710375</v>
      </c>
    </row>
    <row r="230" customFormat="false" ht="15" hidden="false" customHeight="false" outlineLevel="0" collapsed="false">
      <c r="B230" s="30" t="n">
        <v>226</v>
      </c>
      <c r="C230" s="31" t="n">
        <f aca="false">IF(B230&lt;=TermYrs*12, -PMT(IntRate/12, TermYrs*12, LoanAmt), "")</f>
        <v>2308.84282410265</v>
      </c>
      <c r="D230" s="31" t="n">
        <f aca="false">IF(B230&lt;=TermYrs*12, -IPMT(IntRate/12, B230, TermYrs*12, LoanAmt), "")</f>
        <v>745.017123491554</v>
      </c>
      <c r="E230" s="31" t="n">
        <f aca="false">IF(B230&lt;=TermYrs*12, -PPMT(IntRate/12, B230, TermYrs*12, LoanAmt), "")</f>
        <v>1563.8257006111</v>
      </c>
      <c r="F230" s="31" t="n">
        <f aca="false">IF(B230&lt;=TermYrs*12, LoanAmt-SUMIFS($E$5:E230, $B$5:B230, "&lt;="&amp;B230), "")</f>
        <v>141479.462009764</v>
      </c>
    </row>
    <row r="231" customFormat="false" ht="15" hidden="false" customHeight="false" outlineLevel="0" collapsed="false">
      <c r="B231" s="30" t="n">
        <v>227</v>
      </c>
      <c r="C231" s="31" t="n">
        <f aca="false">IF(B231&lt;=TermYrs*12, -PMT(IntRate/12, TermYrs*12, LoanAmt), "")</f>
        <v>2308.84282410265</v>
      </c>
      <c r="D231" s="31" t="n">
        <f aca="false">IF(B231&lt;=TermYrs*12, -IPMT(IntRate/12, B231, TermYrs*12, LoanAmt), "")</f>
        <v>736.872197967538</v>
      </c>
      <c r="E231" s="31" t="n">
        <f aca="false">IF(B231&lt;=TermYrs*12, -PPMT(IntRate/12, B231, TermYrs*12, LoanAmt), "")</f>
        <v>1571.97062613511</v>
      </c>
      <c r="F231" s="31" t="n">
        <f aca="false">IF(B231&lt;=TermYrs*12, LoanAmt-SUMIFS($E$5:E231, $B$5:B231, "&lt;="&amp;B231), "")</f>
        <v>139907.491383629</v>
      </c>
    </row>
    <row r="232" customFormat="false" ht="15" hidden="false" customHeight="false" outlineLevel="0" collapsed="false">
      <c r="B232" s="30" t="n">
        <v>228</v>
      </c>
      <c r="C232" s="31" t="n">
        <f aca="false">IF(B232&lt;=TermYrs*12, -PMT(IntRate/12, TermYrs*12, LoanAmt), "")</f>
        <v>2308.84282410265</v>
      </c>
      <c r="D232" s="31" t="n">
        <f aca="false">IF(B232&lt;=TermYrs*12, -IPMT(IntRate/12, B232, TermYrs*12, LoanAmt), "")</f>
        <v>728.684850956418</v>
      </c>
      <c r="E232" s="31" t="n">
        <f aca="false">IF(B232&lt;=TermYrs*12, -PPMT(IntRate/12, B232, TermYrs*12, LoanAmt), "")</f>
        <v>1580.15797314623</v>
      </c>
      <c r="F232" s="31" t="n">
        <f aca="false">IF(B232&lt;=TermYrs*12, LoanAmt-SUMIFS($E$5:E232, $B$5:B232, "&lt;="&amp;B232), "")</f>
        <v>138327.333410483</v>
      </c>
    </row>
    <row r="233" customFormat="false" ht="15" hidden="false" customHeight="false" outlineLevel="0" collapsed="false">
      <c r="B233" s="30" t="n">
        <v>229</v>
      </c>
      <c r="C233" s="31" t="n">
        <f aca="false">IF(B233&lt;=TermYrs*12, -PMT(IntRate/12, TermYrs*12, LoanAmt), "")</f>
        <v>2308.84282410265</v>
      </c>
      <c r="D233" s="31" t="n">
        <f aca="false">IF(B233&lt;=TermYrs*12, -IPMT(IntRate/12, B233, TermYrs*12, LoanAmt), "")</f>
        <v>720.454861512948</v>
      </c>
      <c r="E233" s="31" t="n">
        <f aca="false">IF(B233&lt;=TermYrs*12, -PPMT(IntRate/12, B233, TermYrs*12, LoanAmt), "")</f>
        <v>1588.3879625897</v>
      </c>
      <c r="F233" s="31" t="n">
        <f aca="false">IF(B233&lt;=TermYrs*12, LoanAmt-SUMIFS($E$5:E233, $B$5:B233, "&lt;="&amp;B233), "")</f>
        <v>136738.945447893</v>
      </c>
    </row>
    <row r="234" customFormat="false" ht="15" hidden="false" customHeight="false" outlineLevel="0" collapsed="false">
      <c r="B234" s="30" t="n">
        <v>230</v>
      </c>
      <c r="C234" s="31" t="n">
        <f aca="false">IF(B234&lt;=TermYrs*12, -PMT(IntRate/12, TermYrs*12, LoanAmt), "")</f>
        <v>2308.84282410265</v>
      </c>
      <c r="D234" s="31" t="n">
        <f aca="false">IF(B234&lt;=TermYrs*12, -IPMT(IntRate/12, B234, TermYrs*12, LoanAmt), "")</f>
        <v>712.182007541126</v>
      </c>
      <c r="E234" s="31" t="n">
        <f aca="false">IF(B234&lt;=TermYrs*12, -PPMT(IntRate/12, B234, TermYrs*12, LoanAmt), "")</f>
        <v>1596.66081656152</v>
      </c>
      <c r="F234" s="31" t="n">
        <f aca="false">IF(B234&lt;=TermYrs*12, LoanAmt-SUMIFS($E$5:E234, $B$5:B234, "&lt;="&amp;B234), "")</f>
        <v>135142.284631332</v>
      </c>
    </row>
    <row r="235" customFormat="false" ht="15" hidden="false" customHeight="false" outlineLevel="0" collapsed="false">
      <c r="B235" s="30" t="n">
        <v>231</v>
      </c>
      <c r="C235" s="31" t="n">
        <f aca="false">IF(B235&lt;=TermYrs*12, -PMT(IntRate/12, TermYrs*12, LoanAmt), "")</f>
        <v>2308.84282410265</v>
      </c>
      <c r="D235" s="31" t="n">
        <f aca="false">IF(B235&lt;=TermYrs*12, -IPMT(IntRate/12, B235, TermYrs*12, LoanAmt), "")</f>
        <v>703.866065788203</v>
      </c>
      <c r="E235" s="31" t="n">
        <f aca="false">IF(B235&lt;=TermYrs*12, -PPMT(IntRate/12, B235, TermYrs*12, LoanAmt), "")</f>
        <v>1604.97675831445</v>
      </c>
      <c r="F235" s="31" t="n">
        <f aca="false">IF(B235&lt;=TermYrs*12, LoanAmt-SUMIFS($E$5:E235, $B$5:B235, "&lt;="&amp;B235), "")</f>
        <v>133537.307873017</v>
      </c>
    </row>
    <row r="236" customFormat="false" ht="15" hidden="false" customHeight="false" outlineLevel="0" collapsed="false">
      <c r="B236" s="30" t="n">
        <v>232</v>
      </c>
      <c r="C236" s="31" t="n">
        <f aca="false">IF(B236&lt;=TermYrs*12, -PMT(IntRate/12, TermYrs*12, LoanAmt), "")</f>
        <v>2308.84282410265</v>
      </c>
      <c r="D236" s="31" t="n">
        <f aca="false">IF(B236&lt;=TermYrs*12, -IPMT(IntRate/12, B236, TermYrs*12, LoanAmt), "")</f>
        <v>695.506811838648</v>
      </c>
      <c r="E236" s="31" t="n">
        <f aca="false">IF(B236&lt;=TermYrs*12, -PPMT(IntRate/12, B236, TermYrs*12, LoanAmt), "")</f>
        <v>1613.336012264</v>
      </c>
      <c r="F236" s="31" t="n">
        <f aca="false">IF(B236&lt;=TermYrs*12, LoanAmt-SUMIFS($E$5:E236, $B$5:B236, "&lt;="&amp;B236), "")</f>
        <v>131923.971860753</v>
      </c>
    </row>
    <row r="237" customFormat="false" ht="15" hidden="false" customHeight="false" outlineLevel="0" collapsed="false">
      <c r="B237" s="30" t="n">
        <v>233</v>
      </c>
      <c r="C237" s="31" t="n">
        <f aca="false">IF(B237&lt;=TermYrs*12, -PMT(IntRate/12, TermYrs*12, LoanAmt), "")</f>
        <v>2308.84282410265</v>
      </c>
      <c r="D237" s="31" t="n">
        <f aca="false">IF(B237&lt;=TermYrs*12, -IPMT(IntRate/12, B237, TermYrs*12, LoanAmt), "")</f>
        <v>687.104020108106</v>
      </c>
      <c r="E237" s="31" t="n">
        <f aca="false">IF(B237&lt;=TermYrs*12, -PPMT(IntRate/12, B237, TermYrs*12, LoanAmt), "")</f>
        <v>1621.73880399454</v>
      </c>
      <c r="F237" s="31" t="n">
        <f aca="false">IF(B237&lt;=TermYrs*12, LoanAmt-SUMIFS($E$5:E237, $B$5:B237, "&lt;="&amp;B237), "")</f>
        <v>130302.233056759</v>
      </c>
    </row>
    <row r="238" customFormat="false" ht="15" hidden="false" customHeight="false" outlineLevel="0" collapsed="false">
      <c r="B238" s="30" t="n">
        <v>234</v>
      </c>
      <c r="C238" s="31" t="n">
        <f aca="false">IF(B238&lt;=TermYrs*12, -PMT(IntRate/12, TermYrs*12, LoanAmt), "")</f>
        <v>2308.84282410265</v>
      </c>
      <c r="D238" s="31" t="n">
        <f aca="false">IF(B238&lt;=TermYrs*12, -IPMT(IntRate/12, B238, TermYrs*12, LoanAmt), "")</f>
        <v>678.657463837302</v>
      </c>
      <c r="E238" s="31" t="n">
        <f aca="false">IF(B238&lt;=TermYrs*12, -PPMT(IntRate/12, B238, TermYrs*12, LoanAmt), "")</f>
        <v>1630.18536026535</v>
      </c>
      <c r="F238" s="31" t="n">
        <f aca="false">IF(B238&lt;=TermYrs*12, LoanAmt-SUMIFS($E$5:E238, $B$5:B238, "&lt;="&amp;B238), "")</f>
        <v>128672.047696493</v>
      </c>
    </row>
    <row r="239" customFormat="false" ht="15" hidden="false" customHeight="false" outlineLevel="0" collapsed="false">
      <c r="B239" s="30" t="n">
        <v>235</v>
      </c>
      <c r="C239" s="31" t="n">
        <f aca="false">IF(B239&lt;=TermYrs*12, -PMT(IntRate/12, TermYrs*12, LoanAmt), "")</f>
        <v>2308.84282410265</v>
      </c>
      <c r="D239" s="31" t="n">
        <f aca="false">IF(B239&lt;=TermYrs*12, -IPMT(IntRate/12, B239, TermYrs*12, LoanAmt), "")</f>
        <v>670.166915085921</v>
      </c>
      <c r="E239" s="31" t="n">
        <f aca="false">IF(B239&lt;=TermYrs*12, -PPMT(IntRate/12, B239, TermYrs*12, LoanAmt), "")</f>
        <v>1638.67590901673</v>
      </c>
      <c r="F239" s="31" t="n">
        <f aca="false">IF(B239&lt;=TermYrs*12, LoanAmt-SUMIFS($E$5:E239, $B$5:B239, "&lt;="&amp;B239), "")</f>
        <v>127033.371787477</v>
      </c>
    </row>
    <row r="240" customFormat="false" ht="15" hidden="false" customHeight="false" outlineLevel="0" collapsed="false">
      <c r="B240" s="30" t="n">
        <v>236</v>
      </c>
      <c r="C240" s="31" t="n">
        <f aca="false">IF(B240&lt;=TermYrs*12, -PMT(IntRate/12, TermYrs*12, LoanAmt), "")</f>
        <v>2308.84282410265</v>
      </c>
      <c r="D240" s="31" t="n">
        <f aca="false">IF(B240&lt;=TermYrs*12, -IPMT(IntRate/12, B240, TermYrs*12, LoanAmt), "")</f>
        <v>661.632144726459</v>
      </c>
      <c r="E240" s="31" t="n">
        <f aca="false">IF(B240&lt;=TermYrs*12, -PPMT(IntRate/12, B240, TermYrs*12, LoanAmt), "")</f>
        <v>1647.21067937619</v>
      </c>
      <c r="F240" s="31" t="n">
        <f aca="false">IF(B240&lt;=TermYrs*12, LoanAmt-SUMIFS($E$5:E240, $B$5:B240, "&lt;="&amp;B240), "")</f>
        <v>125386.161108101</v>
      </c>
    </row>
    <row r="241" customFormat="false" ht="15" hidden="false" customHeight="false" outlineLevel="0" collapsed="false">
      <c r="B241" s="30" t="n">
        <v>237</v>
      </c>
      <c r="C241" s="31" t="n">
        <f aca="false">IF(B241&lt;=TermYrs*12, -PMT(IntRate/12, TermYrs*12, LoanAmt), "")</f>
        <v>2308.84282410265</v>
      </c>
      <c r="D241" s="31" t="n">
        <f aca="false">IF(B241&lt;=TermYrs*12, -IPMT(IntRate/12, B241, TermYrs*12, LoanAmt), "")</f>
        <v>653.052922438039</v>
      </c>
      <c r="E241" s="31" t="n">
        <f aca="false">IF(B241&lt;=TermYrs*12, -PPMT(IntRate/12, B241, TermYrs*12, LoanAmt), "")</f>
        <v>1655.78990166461</v>
      </c>
      <c r="F241" s="31" t="n">
        <f aca="false">IF(B241&lt;=TermYrs*12, LoanAmt-SUMIFS($E$5:E241, $B$5:B241, "&lt;="&amp;B241), "")</f>
        <v>123730.371206436</v>
      </c>
    </row>
    <row r="242" customFormat="false" ht="15" hidden="false" customHeight="false" outlineLevel="0" collapsed="false">
      <c r="B242" s="30" t="n">
        <v>238</v>
      </c>
      <c r="C242" s="31" t="n">
        <f aca="false">IF(B242&lt;=TermYrs*12, -PMT(IntRate/12, TermYrs*12, LoanAmt), "")</f>
        <v>2308.84282410265</v>
      </c>
      <c r="D242" s="31" t="n">
        <f aca="false">IF(B242&lt;=TermYrs*12, -IPMT(IntRate/12, B242, TermYrs*12, LoanAmt), "")</f>
        <v>644.429016700204</v>
      </c>
      <c r="E242" s="31" t="n">
        <f aca="false">IF(B242&lt;=TermYrs*12, -PPMT(IntRate/12, B242, TermYrs*12, LoanAmt), "")</f>
        <v>1664.41380740245</v>
      </c>
      <c r="F242" s="31" t="n">
        <f aca="false">IF(B242&lt;=TermYrs*12, LoanAmt-SUMIFS($E$5:E242, $B$5:B242, "&lt;="&amp;B242), "")</f>
        <v>122065.957399033</v>
      </c>
    </row>
    <row r="243" customFormat="false" ht="15" hidden="false" customHeight="false" outlineLevel="0" collapsed="false">
      <c r="B243" s="30" t="n">
        <v>239</v>
      </c>
      <c r="C243" s="31" t="n">
        <f aca="false">IF(B243&lt;=TermYrs*12, -PMT(IntRate/12, TermYrs*12, LoanAmt), "")</f>
        <v>2308.84282410265</v>
      </c>
      <c r="D243" s="31" t="n">
        <f aca="false">IF(B243&lt;=TermYrs*12, -IPMT(IntRate/12, B243, TermYrs*12, LoanAmt), "")</f>
        <v>635.76019478665</v>
      </c>
      <c r="E243" s="31" t="n">
        <f aca="false">IF(B243&lt;=TermYrs*12, -PPMT(IntRate/12, B243, TermYrs*12, LoanAmt), "")</f>
        <v>1673.082629316</v>
      </c>
      <c r="F243" s="31" t="n">
        <f aca="false">IF(B243&lt;=TermYrs*12, LoanAmt-SUMIFS($E$5:E243, $B$5:B243, "&lt;="&amp;B243), "")</f>
        <v>120392.874769717</v>
      </c>
    </row>
    <row r="244" customFormat="false" ht="15" hidden="false" customHeight="false" outlineLevel="0" collapsed="false">
      <c r="B244" s="30" t="n">
        <v>240</v>
      </c>
      <c r="C244" s="31" t="n">
        <f aca="false">IF(B244&lt;=TermYrs*12, -PMT(IntRate/12, TermYrs*12, LoanAmt), "")</f>
        <v>2308.84282410265</v>
      </c>
      <c r="D244" s="31" t="n">
        <f aca="false">IF(B244&lt;=TermYrs*12, -IPMT(IntRate/12, B244, TermYrs*12, LoanAmt), "")</f>
        <v>627.046222758961</v>
      </c>
      <c r="E244" s="31" t="n">
        <f aca="false">IF(B244&lt;=TermYrs*12, -PPMT(IntRate/12, B244, TermYrs*12, LoanAmt), "")</f>
        <v>1681.79660134369</v>
      </c>
      <c r="F244" s="31" t="n">
        <f aca="false">IF(B244&lt;=TermYrs*12, LoanAmt-SUMIFS($E$5:E244, $B$5:B244, "&lt;="&amp;B244), "")</f>
        <v>118711.078168374</v>
      </c>
    </row>
    <row r="245" customFormat="false" ht="15" hidden="false" customHeight="false" outlineLevel="0" collapsed="false">
      <c r="B245" s="30" t="n">
        <v>241</v>
      </c>
      <c r="C245" s="31" t="n">
        <f aca="false">IF(B245&lt;=TermYrs*12, -PMT(IntRate/12, TermYrs*12, LoanAmt), "")</f>
        <v>2308.84282410265</v>
      </c>
      <c r="D245" s="31" t="n">
        <f aca="false">IF(B245&lt;=TermYrs*12, -IPMT(IntRate/12, B245, TermYrs*12, LoanAmt), "")</f>
        <v>618.286865460296</v>
      </c>
      <c r="E245" s="31" t="n">
        <f aca="false">IF(B245&lt;=TermYrs*12, -PPMT(IntRate/12, B245, TermYrs*12, LoanAmt), "")</f>
        <v>1690.55595864236</v>
      </c>
      <c r="F245" s="31" t="n">
        <f aca="false">IF(B245&lt;=TermYrs*12, LoanAmt-SUMIFS($E$5:E245, $B$5:B245, "&lt;="&amp;B245), "")</f>
        <v>117020.522209731</v>
      </c>
    </row>
    <row r="246" customFormat="false" ht="15" hidden="false" customHeight="false" outlineLevel="0" collapsed="false">
      <c r="B246" s="30" t="n">
        <v>242</v>
      </c>
      <c r="C246" s="31" t="n">
        <f aca="false">IF(B246&lt;=TermYrs*12, -PMT(IntRate/12, TermYrs*12, LoanAmt), "")</f>
        <v>2308.84282410265</v>
      </c>
      <c r="D246" s="31" t="n">
        <f aca="false">IF(B246&lt;=TermYrs*12, -IPMT(IntRate/12, B246, TermYrs*12, LoanAmt), "")</f>
        <v>609.481886509033</v>
      </c>
      <c r="E246" s="31" t="n">
        <f aca="false">IF(B246&lt;=TermYrs*12, -PPMT(IntRate/12, B246, TermYrs*12, LoanAmt), "")</f>
        <v>1699.36093759362</v>
      </c>
      <c r="F246" s="31" t="n">
        <f aca="false">IF(B246&lt;=TermYrs*12, LoanAmt-SUMIFS($E$5:E246, $B$5:B246, "&lt;="&amp;B246), "")</f>
        <v>115321.161272138</v>
      </c>
    </row>
    <row r="247" customFormat="false" ht="15" hidden="false" customHeight="false" outlineLevel="0" collapsed="false">
      <c r="B247" s="30" t="n">
        <v>243</v>
      </c>
      <c r="C247" s="31" t="n">
        <f aca="false">IF(B247&lt;=TermYrs*12, -PMT(IntRate/12, TermYrs*12, LoanAmt), "")</f>
        <v>2308.84282410265</v>
      </c>
      <c r="D247" s="31" t="n">
        <f aca="false">IF(B247&lt;=TermYrs*12, -IPMT(IntRate/12, B247, TermYrs*12, LoanAmt), "")</f>
        <v>600.631048292402</v>
      </c>
      <c r="E247" s="31" t="n">
        <f aca="false">IF(B247&lt;=TermYrs*12, -PPMT(IntRate/12, B247, TermYrs*12, LoanAmt), "")</f>
        <v>1708.21177581025</v>
      </c>
      <c r="F247" s="31" t="n">
        <f aca="false">IF(B247&lt;=TermYrs*12, LoanAmt-SUMIFS($E$5:E247, $B$5:B247, "&lt;="&amp;B247), "")</f>
        <v>113612.949496328</v>
      </c>
    </row>
    <row r="248" customFormat="false" ht="15" hidden="false" customHeight="false" outlineLevel="0" collapsed="false">
      <c r="B248" s="30" t="n">
        <v>244</v>
      </c>
      <c r="C248" s="31" t="n">
        <f aca="false">IF(B248&lt;=TermYrs*12, -PMT(IntRate/12, TermYrs*12, LoanAmt), "")</f>
        <v>2308.84282410265</v>
      </c>
      <c r="D248" s="31" t="n">
        <f aca="false">IF(B248&lt;=TermYrs*12, -IPMT(IntRate/12, B248, TermYrs*12, LoanAmt), "")</f>
        <v>591.734111960057</v>
      </c>
      <c r="E248" s="31" t="n">
        <f aca="false">IF(B248&lt;=TermYrs*12, -PPMT(IntRate/12, B248, TermYrs*12, LoanAmt), "")</f>
        <v>1717.10871214259</v>
      </c>
      <c r="F248" s="31" t="n">
        <f aca="false">IF(B248&lt;=TermYrs*12, LoanAmt-SUMIFS($E$5:E248, $B$5:B248, "&lt;="&amp;B248), "")</f>
        <v>111895.840784185</v>
      </c>
    </row>
    <row r="249" customFormat="false" ht="15" hidden="false" customHeight="false" outlineLevel="0" collapsed="false">
      <c r="B249" s="30" t="n">
        <v>245</v>
      </c>
      <c r="C249" s="31" t="n">
        <f aca="false">IF(B249&lt;=TermYrs*12, -PMT(IntRate/12, TermYrs*12, LoanAmt), "")</f>
        <v>2308.84282410265</v>
      </c>
      <c r="D249" s="31" t="n">
        <f aca="false">IF(B249&lt;=TermYrs*12, -IPMT(IntRate/12, B249, TermYrs*12, LoanAmt), "")</f>
        <v>582.790837417648</v>
      </c>
      <c r="E249" s="31" t="n">
        <f aca="false">IF(B249&lt;=TermYrs*12, -PPMT(IntRate/12, B249, TermYrs*12, LoanAmt), "")</f>
        <v>1726.051986685</v>
      </c>
      <c r="F249" s="31" t="n">
        <f aca="false">IF(B249&lt;=TermYrs*12, LoanAmt-SUMIFS($E$5:E249, $B$5:B249, "&lt;="&amp;B249), "")</f>
        <v>110169.7887975</v>
      </c>
    </row>
    <row r="250" customFormat="false" ht="15" hidden="false" customHeight="false" outlineLevel="0" collapsed="false">
      <c r="B250" s="30" t="n">
        <v>246</v>
      </c>
      <c r="C250" s="31" t="n">
        <f aca="false">IF(B250&lt;=TermYrs*12, -PMT(IntRate/12, TermYrs*12, LoanAmt), "")</f>
        <v>2308.84282410265</v>
      </c>
      <c r="D250" s="31" t="n">
        <f aca="false">IF(B250&lt;=TermYrs*12, -IPMT(IntRate/12, B250, TermYrs*12, LoanAmt), "")</f>
        <v>573.80098332033</v>
      </c>
      <c r="E250" s="31" t="n">
        <f aca="false">IF(B250&lt;=TermYrs*12, -PPMT(IntRate/12, B250, TermYrs*12, LoanAmt), "")</f>
        <v>1735.04184078232</v>
      </c>
      <c r="F250" s="31" t="n">
        <f aca="false">IF(B250&lt;=TermYrs*12, LoanAmt-SUMIFS($E$5:E250, $B$5:B250, "&lt;="&amp;B250), "")</f>
        <v>108434.746956718</v>
      </c>
    </row>
    <row r="251" customFormat="false" ht="15" hidden="false" customHeight="false" outlineLevel="0" collapsed="false">
      <c r="B251" s="30" t="n">
        <v>247</v>
      </c>
      <c r="C251" s="31" t="n">
        <f aca="false">IF(B251&lt;=TermYrs*12, -PMT(IntRate/12, TermYrs*12, LoanAmt), "")</f>
        <v>2308.84282410265</v>
      </c>
      <c r="D251" s="31" t="n">
        <f aca="false">IF(B251&lt;=TermYrs*12, -IPMT(IntRate/12, B251, TermYrs*12, LoanAmt), "")</f>
        <v>564.764307066256</v>
      </c>
      <c r="E251" s="31" t="n">
        <f aca="false">IF(B251&lt;=TermYrs*12, -PPMT(IntRate/12, B251, TermYrs*12, LoanAmt), "")</f>
        <v>1744.07851703639</v>
      </c>
      <c r="F251" s="31" t="n">
        <f aca="false">IF(B251&lt;=TermYrs*12, LoanAmt-SUMIFS($E$5:E251, $B$5:B251, "&lt;="&amp;B251), "")</f>
        <v>106690.668439681</v>
      </c>
    </row>
    <row r="252" customFormat="false" ht="15" hidden="false" customHeight="false" outlineLevel="0" collapsed="false">
      <c r="B252" s="30" t="n">
        <v>248</v>
      </c>
      <c r="C252" s="31" t="n">
        <f aca="false">IF(B252&lt;=TermYrs*12, -PMT(IntRate/12, TermYrs*12, LoanAmt), "")</f>
        <v>2308.84282410265</v>
      </c>
      <c r="D252" s="31" t="n">
        <f aca="false">IF(B252&lt;=TermYrs*12, -IPMT(IntRate/12, B252, TermYrs*12, LoanAmt), "")</f>
        <v>555.680564790024</v>
      </c>
      <c r="E252" s="31" t="n">
        <f aca="false">IF(B252&lt;=TermYrs*12, -PPMT(IntRate/12, B252, TermYrs*12, LoanAmt), "")</f>
        <v>1753.16225931263</v>
      </c>
      <c r="F252" s="31" t="n">
        <f aca="false">IF(B252&lt;=TermYrs*12, LoanAmt-SUMIFS($E$5:E252, $B$5:B252, "&lt;="&amp;B252), "")</f>
        <v>104937.506180369</v>
      </c>
    </row>
    <row r="253" customFormat="false" ht="15" hidden="false" customHeight="false" outlineLevel="0" collapsed="false">
      <c r="B253" s="30" t="n">
        <v>249</v>
      </c>
      <c r="C253" s="31" t="n">
        <f aca="false">IF(B253&lt;=TermYrs*12, -PMT(IntRate/12, TermYrs*12, LoanAmt), "")</f>
        <v>2308.84282410265</v>
      </c>
      <c r="D253" s="31" t="n">
        <f aca="false">IF(B253&lt;=TermYrs*12, -IPMT(IntRate/12, B253, TermYrs*12, LoanAmt), "")</f>
        <v>546.549511356106</v>
      </c>
      <c r="E253" s="31" t="n">
        <f aca="false">IF(B253&lt;=TermYrs*12, -PPMT(IntRate/12, B253, TermYrs*12, LoanAmt), "")</f>
        <v>1762.29331274655</v>
      </c>
      <c r="F253" s="31" t="n">
        <f aca="false">IF(B253&lt;=TermYrs*12, LoanAmt-SUMIFS($E$5:E253, $B$5:B253, "&lt;="&amp;B253), "")</f>
        <v>103175.212867622</v>
      </c>
    </row>
    <row r="254" customFormat="false" ht="15" hidden="false" customHeight="false" outlineLevel="0" collapsed="false">
      <c r="B254" s="30" t="n">
        <v>250</v>
      </c>
      <c r="C254" s="31" t="n">
        <f aca="false">IF(B254&lt;=TermYrs*12, -PMT(IntRate/12, TermYrs*12, LoanAmt), "")</f>
        <v>2308.84282410265</v>
      </c>
      <c r="D254" s="31" t="n">
        <f aca="false">IF(B254&lt;=TermYrs*12, -IPMT(IntRate/12, B254, TermYrs*12, LoanAmt), "")</f>
        <v>537.370900352217</v>
      </c>
      <c r="E254" s="31" t="n">
        <f aca="false">IF(B254&lt;=TermYrs*12, -PPMT(IntRate/12, B254, TermYrs*12, LoanAmt), "")</f>
        <v>1771.47192375043</v>
      </c>
      <c r="F254" s="31" t="n">
        <f aca="false">IF(B254&lt;=TermYrs*12, LoanAmt-SUMIFS($E$5:E254, $B$5:B254, "&lt;="&amp;B254), "")</f>
        <v>101403.740943872</v>
      </c>
    </row>
    <row r="255" customFormat="false" ht="15" hidden="false" customHeight="false" outlineLevel="0" collapsed="false">
      <c r="B255" s="30" t="n">
        <v>251</v>
      </c>
      <c r="C255" s="31" t="n">
        <f aca="false">IF(B255&lt;=TermYrs*12, -PMT(IntRate/12, TermYrs*12, LoanAmt), "")</f>
        <v>2308.84282410265</v>
      </c>
      <c r="D255" s="31" t="n">
        <f aca="false">IF(B255&lt;=TermYrs*12, -IPMT(IntRate/12, B255, TermYrs*12, LoanAmt), "")</f>
        <v>528.144484082683</v>
      </c>
      <c r="E255" s="31" t="n">
        <f aca="false">IF(B255&lt;=TermYrs*12, -PPMT(IntRate/12, B255, TermYrs*12, LoanAmt), "")</f>
        <v>1780.69834001997</v>
      </c>
      <c r="F255" s="31" t="n">
        <f aca="false">IF(B255&lt;=TermYrs*12, LoanAmt-SUMIFS($E$5:E255, $B$5:B255, "&lt;="&amp;B255), "")</f>
        <v>99623.0426038517</v>
      </c>
    </row>
    <row r="256" customFormat="false" ht="15" hidden="false" customHeight="false" outlineLevel="0" collapsed="false">
      <c r="B256" s="30" t="n">
        <v>252</v>
      </c>
      <c r="C256" s="31" t="n">
        <f aca="false">IF(B256&lt;=TermYrs*12, -PMT(IntRate/12, TermYrs*12, LoanAmt), "")</f>
        <v>2308.84282410265</v>
      </c>
      <c r="D256" s="31" t="n">
        <f aca="false">IF(B256&lt;=TermYrs*12, -IPMT(IntRate/12, B256, TermYrs*12, LoanAmt), "")</f>
        <v>518.870013561745</v>
      </c>
      <c r="E256" s="31" t="n">
        <f aca="false">IF(B256&lt;=TermYrs*12, -PPMT(IntRate/12, B256, TermYrs*12, LoanAmt), "")</f>
        <v>1789.97281054091</v>
      </c>
      <c r="F256" s="31" t="n">
        <f aca="false">IF(B256&lt;=TermYrs*12, LoanAmt-SUMIFS($E$5:E256, $B$5:B256, "&lt;="&amp;B256), "")</f>
        <v>97833.0697933108</v>
      </c>
    </row>
    <row r="257" customFormat="false" ht="15" hidden="false" customHeight="false" outlineLevel="0" collapsed="false">
      <c r="B257" s="30" t="n">
        <v>253</v>
      </c>
      <c r="C257" s="31" t="n">
        <f aca="false">IF(B257&lt;=TermYrs*12, -PMT(IntRate/12, TermYrs*12, LoanAmt), "")</f>
        <v>2308.84282410265</v>
      </c>
      <c r="D257" s="31" t="n">
        <f aca="false">IF(B257&lt;=TermYrs*12, -IPMT(IntRate/12, B257, TermYrs*12, LoanAmt), "")</f>
        <v>509.547238506845</v>
      </c>
      <c r="E257" s="31" t="n">
        <f aca="false">IF(B257&lt;=TermYrs*12, -PPMT(IntRate/12, B257, TermYrs*12, LoanAmt), "")</f>
        <v>1799.29558559581</v>
      </c>
      <c r="F257" s="31" t="n">
        <f aca="false">IF(B257&lt;=TermYrs*12, LoanAmt-SUMIFS($E$5:E257, $B$5:B257, "&lt;="&amp;B257), "")</f>
        <v>96033.774207715</v>
      </c>
    </row>
    <row r="258" customFormat="false" ht="15" hidden="false" customHeight="false" outlineLevel="0" collapsed="false">
      <c r="B258" s="30" t="n">
        <v>254</v>
      </c>
      <c r="C258" s="31" t="n">
        <f aca="false">IF(B258&lt;=TermYrs*12, -PMT(IntRate/12, TermYrs*12, LoanAmt), "")</f>
        <v>2308.84282410265</v>
      </c>
      <c r="D258" s="31" t="n">
        <f aca="false">IF(B258&lt;=TermYrs*12, -IPMT(IntRate/12, B258, TermYrs*12, LoanAmt), "")</f>
        <v>500.175907331867</v>
      </c>
      <c r="E258" s="31" t="n">
        <f aca="false">IF(B258&lt;=TermYrs*12, -PPMT(IntRate/12, B258, TermYrs*12, LoanAmt), "")</f>
        <v>1808.66691677078</v>
      </c>
      <c r="F258" s="31" t="n">
        <f aca="false">IF(B258&lt;=TermYrs*12, LoanAmt-SUMIFS($E$5:E258, $B$5:B258, "&lt;="&amp;B258), "")</f>
        <v>94225.1072909442</v>
      </c>
    </row>
    <row r="259" customFormat="false" ht="15" hidden="false" customHeight="false" outlineLevel="0" collapsed="false">
      <c r="B259" s="30" t="n">
        <v>255</v>
      </c>
      <c r="C259" s="31" t="n">
        <f aca="false">IF(B259&lt;=TermYrs*12, -PMT(IntRate/12, TermYrs*12, LoanAmt), "")</f>
        <v>2308.84282410265</v>
      </c>
      <c r="D259" s="31" t="n">
        <f aca="false">IF(B259&lt;=TermYrs*12, -IPMT(IntRate/12, B259, TermYrs*12, LoanAmt), "")</f>
        <v>490.755767140352</v>
      </c>
      <c r="E259" s="31" t="n">
        <f aca="false">IF(B259&lt;=TermYrs*12, -PPMT(IntRate/12, B259, TermYrs*12, LoanAmt), "")</f>
        <v>1818.0870569623</v>
      </c>
      <c r="F259" s="31" t="n">
        <f aca="false">IF(B259&lt;=TermYrs*12, LoanAmt-SUMIFS($E$5:E259, $B$5:B259, "&lt;="&amp;B259), "")</f>
        <v>92407.0202339819</v>
      </c>
    </row>
    <row r="260" customFormat="false" ht="15" hidden="false" customHeight="false" outlineLevel="0" collapsed="false">
      <c r="B260" s="30" t="n">
        <v>256</v>
      </c>
      <c r="C260" s="31" t="n">
        <f aca="false">IF(B260&lt;=TermYrs*12, -PMT(IntRate/12, TermYrs*12, LoanAmt), "")</f>
        <v>2308.84282410265</v>
      </c>
      <c r="D260" s="31" t="n">
        <f aca="false">IF(B260&lt;=TermYrs*12, -IPMT(IntRate/12, B260, TermYrs*12, LoanAmt), "")</f>
        <v>481.286563718675</v>
      </c>
      <c r="E260" s="31" t="n">
        <f aca="false">IF(B260&lt;=TermYrs*12, -PPMT(IntRate/12, B260, TermYrs*12, LoanAmt), "")</f>
        <v>1827.55626038398</v>
      </c>
      <c r="F260" s="31" t="n">
        <f aca="false">IF(B260&lt;=TermYrs*12, LoanAmt-SUMIFS($E$5:E260, $B$5:B260, "&lt;="&amp;B260), "")</f>
        <v>90579.4639735979</v>
      </c>
    </row>
    <row r="261" customFormat="false" ht="15" hidden="false" customHeight="false" outlineLevel="0" collapsed="false">
      <c r="B261" s="30" t="n">
        <v>257</v>
      </c>
      <c r="C261" s="31" t="n">
        <f aca="false">IF(B261&lt;=TermYrs*12, -PMT(IntRate/12, TermYrs*12, LoanAmt), "")</f>
        <v>2308.84282410265</v>
      </c>
      <c r="D261" s="31" t="n">
        <f aca="false">IF(B261&lt;=TermYrs*12, -IPMT(IntRate/12, B261, TermYrs*12, LoanAmt), "")</f>
        <v>471.768041529175</v>
      </c>
      <c r="E261" s="31" t="n">
        <f aca="false">IF(B261&lt;=TermYrs*12, -PPMT(IntRate/12, B261, TermYrs*12, LoanAmt), "")</f>
        <v>1837.07478257348</v>
      </c>
      <c r="F261" s="31" t="n">
        <f aca="false">IF(B261&lt;=TermYrs*12, LoanAmt-SUMIFS($E$5:E261, $B$5:B261, "&lt;="&amp;B261), "")</f>
        <v>88742.3891910244</v>
      </c>
    </row>
    <row r="262" customFormat="false" ht="15" hidden="false" customHeight="false" outlineLevel="0" collapsed="false">
      <c r="B262" s="30" t="n">
        <v>258</v>
      </c>
      <c r="C262" s="31" t="n">
        <f aca="false">IF(B262&lt;=TermYrs*12, -PMT(IntRate/12, TermYrs*12, LoanAmt), "")</f>
        <v>2308.84282410265</v>
      </c>
      <c r="D262" s="31" t="n">
        <f aca="false">IF(B262&lt;=TermYrs*12, -IPMT(IntRate/12, B262, TermYrs*12, LoanAmt), "")</f>
        <v>462.199943703271</v>
      </c>
      <c r="E262" s="31" t="n">
        <f aca="false">IF(B262&lt;=TermYrs*12, -PPMT(IntRate/12, B262, TermYrs*12, LoanAmt), "")</f>
        <v>1846.64288039938</v>
      </c>
      <c r="F262" s="31" t="n">
        <f aca="false">IF(B262&lt;=TermYrs*12, LoanAmt-SUMIFS($E$5:E262, $B$5:B262, "&lt;="&amp;B262), "")</f>
        <v>86895.7463106251</v>
      </c>
    </row>
    <row r="263" customFormat="false" ht="15" hidden="false" customHeight="false" outlineLevel="0" collapsed="false">
      <c r="B263" s="30" t="n">
        <v>259</v>
      </c>
      <c r="C263" s="31" t="n">
        <f aca="false">IF(B263&lt;=TermYrs*12, -PMT(IntRate/12, TermYrs*12, LoanAmt), "")</f>
        <v>2308.84282410265</v>
      </c>
      <c r="D263" s="31" t="n">
        <f aca="false">IF(B263&lt;=TermYrs*12, -IPMT(IntRate/12, B263, TermYrs*12, LoanAmt), "")</f>
        <v>452.582012034525</v>
      </c>
      <c r="E263" s="31" t="n">
        <f aca="false">IF(B263&lt;=TermYrs*12, -PPMT(IntRate/12, B263, TermYrs*12, LoanAmt), "")</f>
        <v>1856.26081206813</v>
      </c>
      <c r="F263" s="31" t="n">
        <f aca="false">IF(B263&lt;=TermYrs*12, LoanAmt-SUMIFS($E$5:E263, $B$5:B263, "&lt;="&amp;B263), "")</f>
        <v>85039.4854985569</v>
      </c>
    </row>
    <row r="264" customFormat="false" ht="15" hidden="false" customHeight="false" outlineLevel="0" collapsed="false">
      <c r="B264" s="30" t="n">
        <v>260</v>
      </c>
      <c r="C264" s="31" t="n">
        <f aca="false">IF(B264&lt;=TermYrs*12, -PMT(IntRate/12, TermYrs*12, LoanAmt), "")</f>
        <v>2308.84282410265</v>
      </c>
      <c r="D264" s="31" t="n">
        <f aca="false">IF(B264&lt;=TermYrs*12, -IPMT(IntRate/12, B264, TermYrs*12, LoanAmt), "")</f>
        <v>442.913986971671</v>
      </c>
      <c r="E264" s="31" t="n">
        <f aca="false">IF(B264&lt;=TermYrs*12, -PPMT(IntRate/12, B264, TermYrs*12, LoanAmt), "")</f>
        <v>1865.92883713098</v>
      </c>
      <c r="F264" s="31" t="n">
        <f aca="false">IF(B264&lt;=TermYrs*12, LoanAmt-SUMIFS($E$5:E264, $B$5:B264, "&lt;="&amp;B264), "")</f>
        <v>83173.556661426</v>
      </c>
    </row>
    <row r="265" customFormat="false" ht="15" hidden="false" customHeight="false" outlineLevel="0" collapsed="false">
      <c r="B265" s="30" t="n">
        <v>261</v>
      </c>
      <c r="C265" s="31" t="n">
        <f aca="false">IF(B265&lt;=TermYrs*12, -PMT(IntRate/12, TermYrs*12, LoanAmt), "")</f>
        <v>2308.84282410265</v>
      </c>
      <c r="D265" s="31" t="n">
        <f aca="false">IF(B265&lt;=TermYrs*12, -IPMT(IntRate/12, B265, TermYrs*12, LoanAmt), "")</f>
        <v>433.195607611612</v>
      </c>
      <c r="E265" s="31" t="n">
        <f aca="false">IF(B265&lt;=TermYrs*12, -PPMT(IntRate/12, B265, TermYrs*12, LoanAmt), "")</f>
        <v>1875.64721649104</v>
      </c>
      <c r="F265" s="31" t="n">
        <f aca="false">IF(B265&lt;=TermYrs*12, LoanAmt-SUMIFS($E$5:E265, $B$5:B265, "&lt;="&amp;B265), "")</f>
        <v>81297.9094449349</v>
      </c>
    </row>
    <row r="266" customFormat="false" ht="15" hidden="false" customHeight="false" outlineLevel="0" collapsed="false">
      <c r="B266" s="30" t="n">
        <v>262</v>
      </c>
      <c r="C266" s="31" t="n">
        <f aca="false">IF(B266&lt;=TermYrs*12, -PMT(IntRate/12, TermYrs*12, LoanAmt), "")</f>
        <v>2308.84282410265</v>
      </c>
      <c r="D266" s="31" t="n">
        <f aca="false">IF(B266&lt;=TermYrs*12, -IPMT(IntRate/12, B266, TermYrs*12, LoanAmt), "")</f>
        <v>423.42661169239</v>
      </c>
      <c r="E266" s="31" t="n">
        <f aca="false">IF(B266&lt;=TermYrs*12, -PPMT(IntRate/12, B266, TermYrs*12, LoanAmt), "")</f>
        <v>1885.41621241026</v>
      </c>
      <c r="F266" s="31" t="n">
        <f aca="false">IF(B266&lt;=TermYrs*12, LoanAmt-SUMIFS($E$5:E266, $B$5:B266, "&lt;="&amp;B266), "")</f>
        <v>79412.4932325247</v>
      </c>
    </row>
    <row r="267" customFormat="false" ht="15" hidden="false" customHeight="false" outlineLevel="0" collapsed="false">
      <c r="B267" s="30" t="n">
        <v>263</v>
      </c>
      <c r="C267" s="31" t="n">
        <f aca="false">IF(B267&lt;=TermYrs*12, -PMT(IntRate/12, TermYrs*12, LoanAmt), "")</f>
        <v>2308.84282410265</v>
      </c>
      <c r="D267" s="31" t="n">
        <f aca="false">IF(B267&lt;=TermYrs*12, -IPMT(IntRate/12, B267, TermYrs*12, LoanAmt), "")</f>
        <v>413.606735586086</v>
      </c>
      <c r="E267" s="31" t="n">
        <f aca="false">IF(B267&lt;=TermYrs*12, -PPMT(IntRate/12, B267, TermYrs*12, LoanAmt), "")</f>
        <v>1895.23608851657</v>
      </c>
      <c r="F267" s="31" t="n">
        <f aca="false">IF(B267&lt;=TermYrs*12, LoanAmt-SUMIFS($E$5:E267, $B$5:B267, "&lt;="&amp;B267), "")</f>
        <v>77517.2571440081</v>
      </c>
    </row>
    <row r="268" customFormat="false" ht="15" hidden="false" customHeight="false" outlineLevel="0" collapsed="false">
      <c r="B268" s="30" t="n">
        <v>264</v>
      </c>
      <c r="C268" s="31" t="n">
        <f aca="false">IF(B268&lt;=TermYrs*12, -PMT(IntRate/12, TermYrs*12, LoanAmt), "")</f>
        <v>2308.84282410265</v>
      </c>
      <c r="D268" s="31" t="n">
        <f aca="false">IF(B268&lt;=TermYrs*12, -IPMT(IntRate/12, B268, TermYrs*12, LoanAmt), "")</f>
        <v>403.735714291729</v>
      </c>
      <c r="E268" s="31" t="n">
        <f aca="false">IF(B268&lt;=TermYrs*12, -PPMT(IntRate/12, B268, TermYrs*12, LoanAmt), "")</f>
        <v>1905.10710981092</v>
      </c>
      <c r="F268" s="31" t="n">
        <f aca="false">IF(B268&lt;=TermYrs*12, LoanAmt-SUMIFS($E$5:E268, $B$5:B268, "&lt;="&amp;B268), "")</f>
        <v>75612.1500341971</v>
      </c>
    </row>
    <row r="269" customFormat="false" ht="15" hidden="false" customHeight="false" outlineLevel="0" collapsed="false">
      <c r="B269" s="30" t="n">
        <v>265</v>
      </c>
      <c r="C269" s="31" t="n">
        <f aca="false">IF(B269&lt;=TermYrs*12, -PMT(IntRate/12, TermYrs*12, LoanAmt), "")</f>
        <v>2308.84282410265</v>
      </c>
      <c r="D269" s="31" t="n">
        <f aca="false">IF(B269&lt;=TermYrs*12, -IPMT(IntRate/12, B269, TermYrs*12, LoanAmt), "")</f>
        <v>393.813281428131</v>
      </c>
      <c r="E269" s="31" t="n">
        <f aca="false">IF(B269&lt;=TermYrs*12, -PPMT(IntRate/12, B269, TermYrs*12, LoanAmt), "")</f>
        <v>1915.02954267452</v>
      </c>
      <c r="F269" s="31" t="n">
        <f aca="false">IF(B269&lt;=TermYrs*12, LoanAmt-SUMIFS($E$5:E269, $B$5:B269, "&lt;="&amp;B269), "")</f>
        <v>73697.1204915227</v>
      </c>
    </row>
    <row r="270" customFormat="false" ht="15" hidden="false" customHeight="false" outlineLevel="0" collapsed="false">
      <c r="B270" s="30" t="n">
        <v>266</v>
      </c>
      <c r="C270" s="31" t="n">
        <f aca="false">IF(B270&lt;=TermYrs*12, -PMT(IntRate/12, TermYrs*12, LoanAmt), "")</f>
        <v>2308.84282410265</v>
      </c>
      <c r="D270" s="31" t="n">
        <f aca="false">IF(B270&lt;=TermYrs*12, -IPMT(IntRate/12, B270, TermYrs*12, LoanAmt), "")</f>
        <v>383.839169226701</v>
      </c>
      <c r="E270" s="31" t="n">
        <f aca="false">IF(B270&lt;=TermYrs*12, -PPMT(IntRate/12, B270, TermYrs*12, LoanAmt), "")</f>
        <v>1925.00365487595</v>
      </c>
      <c r="F270" s="31" t="n">
        <f aca="false">IF(B270&lt;=TermYrs*12, LoanAmt-SUMIFS($E$5:E270, $B$5:B270, "&lt;="&amp;B270), "")</f>
        <v>71772.1168366467</v>
      </c>
    </row>
    <row r="271" customFormat="false" ht="15" hidden="false" customHeight="false" outlineLevel="0" collapsed="false">
      <c r="B271" s="30" t="n">
        <v>267</v>
      </c>
      <c r="C271" s="31" t="n">
        <f aca="false">IF(B271&lt;=TermYrs*12, -PMT(IntRate/12, TermYrs*12, LoanAmt), "")</f>
        <v>2308.84282410265</v>
      </c>
      <c r="D271" s="31" t="n">
        <f aca="false">IF(B271&lt;=TermYrs*12, -IPMT(IntRate/12, B271, TermYrs*12, LoanAmt), "")</f>
        <v>373.813108524223</v>
      </c>
      <c r="E271" s="31" t="n">
        <f aca="false">IF(B271&lt;=TermYrs*12, -PPMT(IntRate/12, B271, TermYrs*12, LoanAmt), "")</f>
        <v>1935.02971557843</v>
      </c>
      <c r="F271" s="31" t="n">
        <f aca="false">IF(B271&lt;=TermYrs*12, LoanAmt-SUMIFS($E$5:E271, $B$5:B271, "&lt;="&amp;B271), "")</f>
        <v>69837.0871210683</v>
      </c>
    </row>
    <row r="272" customFormat="false" ht="15" hidden="false" customHeight="false" outlineLevel="0" collapsed="false">
      <c r="B272" s="30" t="n">
        <v>268</v>
      </c>
      <c r="C272" s="31" t="n">
        <f aca="false">IF(B272&lt;=TermYrs*12, -PMT(IntRate/12, TermYrs*12, LoanAmt), "")</f>
        <v>2308.84282410265</v>
      </c>
      <c r="D272" s="31" t="n">
        <f aca="false">IF(B272&lt;=TermYrs*12, -IPMT(IntRate/12, B272, TermYrs*12, LoanAmt), "")</f>
        <v>363.734828755585</v>
      </c>
      <c r="E272" s="31" t="n">
        <f aca="false">IF(B272&lt;=TermYrs*12, -PPMT(IntRate/12, B272, TermYrs*12, LoanAmt), "")</f>
        <v>1945.10799534707</v>
      </c>
      <c r="F272" s="31" t="n">
        <f aca="false">IF(B272&lt;=TermYrs*12, LoanAmt-SUMIFS($E$5:E272, $B$5:B272, "&lt;="&amp;B272), "")</f>
        <v>67891.9791257212</v>
      </c>
    </row>
    <row r="273" customFormat="false" ht="15" hidden="false" customHeight="false" outlineLevel="0" collapsed="false">
      <c r="B273" s="30" t="n">
        <v>269</v>
      </c>
      <c r="C273" s="31" t="n">
        <f aca="false">IF(B273&lt;=TermYrs*12, -PMT(IntRate/12, TermYrs*12, LoanAmt), "")</f>
        <v>2308.84282410265</v>
      </c>
      <c r="D273" s="31" t="n">
        <f aca="false">IF(B273&lt;=TermYrs*12, -IPMT(IntRate/12, B273, TermYrs*12, LoanAmt), "")</f>
        <v>353.604057946485</v>
      </c>
      <c r="E273" s="31" t="n">
        <f aca="false">IF(B273&lt;=TermYrs*12, -PPMT(IntRate/12, B273, TermYrs*12, LoanAmt), "")</f>
        <v>1955.23876615617</v>
      </c>
      <c r="F273" s="31" t="n">
        <f aca="false">IF(B273&lt;=TermYrs*12, LoanAmt-SUMIFS($E$5:E273, $B$5:B273, "&lt;="&amp;B273), "")</f>
        <v>65936.740359565</v>
      </c>
    </row>
    <row r="274" customFormat="false" ht="15" hidden="false" customHeight="false" outlineLevel="0" collapsed="false">
      <c r="B274" s="30" t="n">
        <v>270</v>
      </c>
      <c r="C274" s="31" t="n">
        <f aca="false">IF(B274&lt;=TermYrs*12, -PMT(IntRate/12, TermYrs*12, LoanAmt), "")</f>
        <v>2308.84282410265</v>
      </c>
      <c r="D274" s="31" t="n">
        <f aca="false">IF(B274&lt;=TermYrs*12, -IPMT(IntRate/12, B274, TermYrs*12, LoanAmt), "")</f>
        <v>343.42052270609</v>
      </c>
      <c r="E274" s="31" t="n">
        <f aca="false">IF(B274&lt;=TermYrs*12, -PPMT(IntRate/12, B274, TermYrs*12, LoanAmt), "")</f>
        <v>1965.42230139656</v>
      </c>
      <c r="F274" s="31" t="n">
        <f aca="false">IF(B274&lt;=TermYrs*12, LoanAmt-SUMIFS($E$5:E274, $B$5:B274, "&lt;="&amp;B274), "")</f>
        <v>63971.3180581685</v>
      </c>
    </row>
    <row r="275" customFormat="false" ht="15" hidden="false" customHeight="false" outlineLevel="0" collapsed="false">
      <c r="B275" s="30" t="n">
        <v>271</v>
      </c>
      <c r="C275" s="31" t="n">
        <f aca="false">IF(B275&lt;=TermYrs*12, -PMT(IntRate/12, TermYrs*12, LoanAmt), "")</f>
        <v>2308.84282410265</v>
      </c>
      <c r="D275" s="31" t="n">
        <f aca="false">IF(B275&lt;=TermYrs*12, -IPMT(IntRate/12, B275, TermYrs*12, LoanAmt), "")</f>
        <v>333.18394821965</v>
      </c>
      <c r="E275" s="31" t="n">
        <f aca="false">IF(B275&lt;=TermYrs*12, -PPMT(IntRate/12, B275, TermYrs*12, LoanAmt), "")</f>
        <v>1975.658875883</v>
      </c>
      <c r="F275" s="31" t="n">
        <f aca="false">IF(B275&lt;=TermYrs*12, LoanAmt-SUMIFS($E$5:E275, $B$5:B275, "&lt;="&amp;B275), "")</f>
        <v>61995.6591822855</v>
      </c>
    </row>
    <row r="276" customFormat="false" ht="15" hidden="false" customHeight="false" outlineLevel="0" collapsed="false">
      <c r="B276" s="30" t="n">
        <v>272</v>
      </c>
      <c r="C276" s="31" t="n">
        <f aca="false">IF(B276&lt;=TermYrs*12, -PMT(IntRate/12, TermYrs*12, LoanAmt), "")</f>
        <v>2308.84282410265</v>
      </c>
      <c r="D276" s="31" t="n">
        <f aca="false">IF(B276&lt;=TermYrs*12, -IPMT(IntRate/12, B276, TermYrs*12, LoanAmt), "")</f>
        <v>322.894058241091</v>
      </c>
      <c r="E276" s="31" t="n">
        <f aca="false">IF(B276&lt;=TermYrs*12, -PPMT(IntRate/12, B276, TermYrs*12, LoanAmt), "")</f>
        <v>1985.94876586156</v>
      </c>
      <c r="F276" s="31" t="n">
        <f aca="false">IF(B276&lt;=TermYrs*12, LoanAmt-SUMIFS($E$5:E276, $B$5:B276, "&lt;="&amp;B276), "")</f>
        <v>60009.7104164239</v>
      </c>
    </row>
    <row r="277" customFormat="false" ht="15" hidden="false" customHeight="false" outlineLevel="0" collapsed="false">
      <c r="B277" s="30" t="n">
        <v>273</v>
      </c>
      <c r="C277" s="31" t="n">
        <f aca="false">IF(B277&lt;=TermYrs*12, -PMT(IntRate/12, TermYrs*12, LoanAmt), "")</f>
        <v>2308.84282410265</v>
      </c>
      <c r="D277" s="31" t="n">
        <f aca="false">IF(B277&lt;=TermYrs*12, -IPMT(IntRate/12, B277, TermYrs*12, LoanAmt), "")</f>
        <v>312.550575085563</v>
      </c>
      <c r="E277" s="31" t="n">
        <f aca="false">IF(B277&lt;=TermYrs*12, -PPMT(IntRate/12, B277, TermYrs*12, LoanAmt), "")</f>
        <v>1996.29224901709</v>
      </c>
      <c r="F277" s="31" t="n">
        <f aca="false">IF(B277&lt;=TermYrs*12, LoanAmt-SUMIFS($E$5:E277, $B$5:B277, "&lt;="&amp;B277), "")</f>
        <v>58013.4181674068</v>
      </c>
    </row>
    <row r="278" customFormat="false" ht="15" hidden="false" customHeight="false" outlineLevel="0" collapsed="false">
      <c r="B278" s="30" t="n">
        <v>274</v>
      </c>
      <c r="C278" s="31" t="n">
        <f aca="false">IF(B278&lt;=TermYrs*12, -PMT(IntRate/12, TermYrs*12, LoanAmt), "")</f>
        <v>2308.84282410265</v>
      </c>
      <c r="D278" s="31" t="n">
        <f aca="false">IF(B278&lt;=TermYrs*12, -IPMT(IntRate/12, B278, TermYrs*12, LoanAmt), "")</f>
        <v>302.153219621932</v>
      </c>
      <c r="E278" s="31" t="n">
        <f aca="false">IF(B278&lt;=TermYrs*12, -PPMT(IntRate/12, B278, TermYrs*12, LoanAmt), "")</f>
        <v>2006.68960448072</v>
      </c>
      <c r="F278" s="31" t="n">
        <f aca="false">IF(B278&lt;=TermYrs*12, LoanAmt-SUMIFS($E$5:E278, $B$5:B278, "&lt;="&amp;B278), "")</f>
        <v>56006.7285629261</v>
      </c>
    </row>
    <row r="279" customFormat="false" ht="15" hidden="false" customHeight="false" outlineLevel="0" collapsed="false">
      <c r="B279" s="30" t="n">
        <v>275</v>
      </c>
      <c r="C279" s="31" t="n">
        <f aca="false">IF(B279&lt;=TermYrs*12, -PMT(IntRate/12, TermYrs*12, LoanAmt), "")</f>
        <v>2308.84282410265</v>
      </c>
      <c r="D279" s="31" t="n">
        <f aca="false">IF(B279&lt;=TermYrs*12, -IPMT(IntRate/12, B279, TermYrs*12, LoanAmt), "")</f>
        <v>291.701711265261</v>
      </c>
      <c r="E279" s="31" t="n">
        <f aca="false">IF(B279&lt;=TermYrs*12, -PPMT(IntRate/12, B279, TermYrs*12, LoanAmt), "")</f>
        <v>2017.14111283739</v>
      </c>
      <c r="F279" s="31" t="n">
        <f aca="false">IF(B279&lt;=TermYrs*12, LoanAmt-SUMIFS($E$5:E279, $B$5:B279, "&lt;="&amp;B279), "")</f>
        <v>53989.5874500887</v>
      </c>
    </row>
    <row r="280" customFormat="false" ht="15" hidden="false" customHeight="false" outlineLevel="0" collapsed="false">
      <c r="B280" s="30" t="n">
        <v>276</v>
      </c>
      <c r="C280" s="31" t="n">
        <f aca="false">IF(B280&lt;=TermYrs*12, -PMT(IntRate/12, TermYrs*12, LoanAmt), "")</f>
        <v>2308.84282410265</v>
      </c>
      <c r="D280" s="31" t="n">
        <f aca="false">IF(B280&lt;=TermYrs*12, -IPMT(IntRate/12, B280, TermYrs*12, LoanAmt), "")</f>
        <v>281.195767969234</v>
      </c>
      <c r="E280" s="31" t="n">
        <f aca="false">IF(B280&lt;=TermYrs*12, -PPMT(IntRate/12, B280, TermYrs*12, LoanAmt), "")</f>
        <v>2027.64705613342</v>
      </c>
      <c r="F280" s="31" t="n">
        <f aca="false">IF(B280&lt;=TermYrs*12, LoanAmt-SUMIFS($E$5:E280, $B$5:B280, "&lt;="&amp;B280), "")</f>
        <v>51961.9403939553</v>
      </c>
    </row>
    <row r="281" customFormat="false" ht="15" hidden="false" customHeight="false" outlineLevel="0" collapsed="false">
      <c r="B281" s="30" t="n">
        <v>277</v>
      </c>
      <c r="C281" s="31" t="n">
        <f aca="false">IF(B281&lt;=TermYrs*12, -PMT(IntRate/12, TermYrs*12, LoanAmt), "")</f>
        <v>2308.84282410265</v>
      </c>
      <c r="D281" s="31" t="n">
        <f aca="false">IF(B281&lt;=TermYrs*12, -IPMT(IntRate/12, B281, TermYrs*12, LoanAmt), "")</f>
        <v>270.635106218539</v>
      </c>
      <c r="E281" s="31" t="n">
        <f aca="false">IF(B281&lt;=TermYrs*12, -PPMT(IntRate/12, B281, TermYrs*12, LoanAmt), "")</f>
        <v>2038.20771788411</v>
      </c>
      <c r="F281" s="31" t="n">
        <f aca="false">IF(B281&lt;=TermYrs*12, LoanAmt-SUMIFS($E$5:E281, $B$5:B281, "&lt;="&amp;B281), "")</f>
        <v>49923.7326760712</v>
      </c>
    </row>
    <row r="282" customFormat="false" ht="15" hidden="false" customHeight="false" outlineLevel="0" collapsed="false">
      <c r="B282" s="30" t="n">
        <v>278</v>
      </c>
      <c r="C282" s="31" t="n">
        <f aca="false">IF(B282&lt;=TermYrs*12, -PMT(IntRate/12, TermYrs*12, LoanAmt), "")</f>
        <v>2308.84282410265</v>
      </c>
      <c r="D282" s="31" t="n">
        <f aca="false">IF(B282&lt;=TermYrs*12, -IPMT(IntRate/12, B282, TermYrs*12, LoanAmt), "")</f>
        <v>260.019441021226</v>
      </c>
      <c r="E282" s="31" t="n">
        <f aca="false">IF(B282&lt;=TermYrs*12, -PPMT(IntRate/12, B282, TermYrs*12, LoanAmt), "")</f>
        <v>2048.82338308143</v>
      </c>
      <c r="F282" s="31" t="n">
        <f aca="false">IF(B282&lt;=TermYrs*12, LoanAmt-SUMIFS($E$5:E282, $B$5:B282, "&lt;="&amp;B282), "")</f>
        <v>47874.9092929898</v>
      </c>
    </row>
    <row r="283" customFormat="false" ht="15" hidden="false" customHeight="false" outlineLevel="0" collapsed="false">
      <c r="B283" s="30" t="n">
        <v>279</v>
      </c>
      <c r="C283" s="31" t="n">
        <f aca="false">IF(B283&lt;=TermYrs*12, -PMT(IntRate/12, TermYrs*12, LoanAmt), "")</f>
        <v>2308.84282410265</v>
      </c>
      <c r="D283" s="31" t="n">
        <f aca="false">IF(B283&lt;=TermYrs*12, -IPMT(IntRate/12, B283, TermYrs*12, LoanAmt), "")</f>
        <v>249.348485901011</v>
      </c>
      <c r="E283" s="31" t="n">
        <f aca="false">IF(B283&lt;=TermYrs*12, -PPMT(IntRate/12, B283, TermYrs*12, LoanAmt), "")</f>
        <v>2059.49433820164</v>
      </c>
      <c r="F283" s="31" t="n">
        <f aca="false">IF(B283&lt;=TermYrs*12, LoanAmt-SUMIFS($E$5:E283, $B$5:B283, "&lt;="&amp;B283), "")</f>
        <v>45815.4149547881</v>
      </c>
    </row>
    <row r="284" customFormat="false" ht="15" hidden="false" customHeight="false" outlineLevel="0" collapsed="false">
      <c r="B284" s="30" t="n">
        <v>280</v>
      </c>
      <c r="C284" s="31" t="n">
        <f aca="false">IF(B284&lt;=TermYrs*12, -PMT(IntRate/12, TermYrs*12, LoanAmt), "")</f>
        <v>2308.84282410265</v>
      </c>
      <c r="D284" s="31" t="n">
        <f aca="false">IF(B284&lt;=TermYrs*12, -IPMT(IntRate/12, B284, TermYrs*12, LoanAmt), "")</f>
        <v>238.621952889543</v>
      </c>
      <c r="E284" s="31" t="n">
        <f aca="false">IF(B284&lt;=TermYrs*12, -PPMT(IntRate/12, B284, TermYrs*12, LoanAmt), "")</f>
        <v>2070.22087121311</v>
      </c>
      <c r="F284" s="31" t="n">
        <f aca="false">IF(B284&lt;=TermYrs*12, LoanAmt-SUMIFS($E$5:E284, $B$5:B284, "&lt;="&amp;B284), "")</f>
        <v>43745.194083575</v>
      </c>
    </row>
    <row r="285" customFormat="false" ht="15" hidden="false" customHeight="false" outlineLevel="0" collapsed="false">
      <c r="B285" s="30" t="n">
        <v>281</v>
      </c>
      <c r="C285" s="31" t="n">
        <f aca="false">IF(B285&lt;=TermYrs*12, -PMT(IntRate/12, TermYrs*12, LoanAmt), "")</f>
        <v>2308.84282410265</v>
      </c>
      <c r="D285" s="31" t="n">
        <f aca="false">IF(B285&lt;=TermYrs*12, -IPMT(IntRate/12, B285, TermYrs*12, LoanAmt), "")</f>
        <v>227.839552518642</v>
      </c>
      <c r="E285" s="31" t="n">
        <f aca="false">IF(B285&lt;=TermYrs*12, -PPMT(IntRate/12, B285, TermYrs*12, LoanAmt), "")</f>
        <v>2081.00327158401</v>
      </c>
      <c r="F285" s="31" t="n">
        <f aca="false">IF(B285&lt;=TermYrs*12, LoanAmt-SUMIFS($E$5:E285, $B$5:B285, "&lt;="&amp;B285), "")</f>
        <v>41664.190811991</v>
      </c>
    </row>
    <row r="286" customFormat="false" ht="15" hidden="false" customHeight="false" outlineLevel="0" collapsed="false">
      <c r="B286" s="30" t="n">
        <v>282</v>
      </c>
      <c r="C286" s="31" t="n">
        <f aca="false">IF(B286&lt;=TermYrs*12, -PMT(IntRate/12, TermYrs*12, LoanAmt), "")</f>
        <v>2308.84282410265</v>
      </c>
      <c r="D286" s="31" t="n">
        <f aca="false">IF(B286&lt;=TermYrs*12, -IPMT(IntRate/12, B286, TermYrs*12, LoanAmt), "")</f>
        <v>217.000993812476</v>
      </c>
      <c r="E286" s="31" t="n">
        <f aca="false">IF(B286&lt;=TermYrs*12, -PPMT(IntRate/12, B286, TermYrs*12, LoanAmt), "")</f>
        <v>2091.84183029017</v>
      </c>
      <c r="F286" s="31" t="n">
        <f aca="false">IF(B286&lt;=TermYrs*12, LoanAmt-SUMIFS($E$5:E286, $B$5:B286, "&lt;="&amp;B286), "")</f>
        <v>39572.3489817008</v>
      </c>
    </row>
    <row r="287" customFormat="false" ht="15" hidden="false" customHeight="false" outlineLevel="0" collapsed="false">
      <c r="B287" s="30" t="n">
        <v>283</v>
      </c>
      <c r="C287" s="31" t="n">
        <f aca="false">IF(B287&lt;=TermYrs*12, -PMT(IntRate/12, TermYrs*12, LoanAmt), "")</f>
        <v>2308.84282410265</v>
      </c>
      <c r="D287" s="31" t="n">
        <f aca="false">IF(B287&lt;=TermYrs*12, -IPMT(IntRate/12, B287, TermYrs*12, LoanAmt), "")</f>
        <v>206.105984279715</v>
      </c>
      <c r="E287" s="31" t="n">
        <f aca="false">IF(B287&lt;=TermYrs*12, -PPMT(IntRate/12, B287, TermYrs*12, LoanAmt), "")</f>
        <v>2102.73683982294</v>
      </c>
      <c r="F287" s="31" t="n">
        <f aca="false">IF(B287&lt;=TermYrs*12, LoanAmt-SUMIFS($E$5:E287, $B$5:B287, "&lt;="&amp;B287), "")</f>
        <v>37469.6121418779</v>
      </c>
    </row>
    <row r="288" customFormat="false" ht="15" hidden="false" customHeight="false" outlineLevel="0" collapsed="false">
      <c r="B288" s="30" t="n">
        <v>284</v>
      </c>
      <c r="C288" s="31" t="n">
        <f aca="false">IF(B288&lt;=TermYrs*12, -PMT(IntRate/12, TermYrs*12, LoanAmt), "")</f>
        <v>2308.84282410265</v>
      </c>
      <c r="D288" s="31" t="n">
        <f aca="false">IF(B288&lt;=TermYrs*12, -IPMT(IntRate/12, B288, TermYrs*12, LoanAmt), "")</f>
        <v>195.154229905636</v>
      </c>
      <c r="E288" s="31" t="n">
        <f aca="false">IF(B288&lt;=TermYrs*12, -PPMT(IntRate/12, B288, TermYrs*12, LoanAmt), "")</f>
        <v>2113.68859419702</v>
      </c>
      <c r="F288" s="31" t="n">
        <f aca="false">IF(B288&lt;=TermYrs*12, LoanAmt-SUMIFS($E$5:E288, $B$5:B288, "&lt;="&amp;B288), "")</f>
        <v>35355.9235476809</v>
      </c>
    </row>
    <row r="289" customFormat="false" ht="15" hidden="false" customHeight="false" outlineLevel="0" collapsed="false">
      <c r="B289" s="30" t="n">
        <v>285</v>
      </c>
      <c r="C289" s="31" t="n">
        <f aca="false">IF(B289&lt;=TermYrs*12, -PMT(IntRate/12, TermYrs*12, LoanAmt), "")</f>
        <v>2308.84282410265</v>
      </c>
      <c r="D289" s="31" t="n">
        <f aca="false">IF(B289&lt;=TermYrs*12, -IPMT(IntRate/12, B289, TermYrs*12, LoanAmt), "")</f>
        <v>184.145435144195</v>
      </c>
      <c r="E289" s="31" t="n">
        <f aca="false">IF(B289&lt;=TermYrs*12, -PPMT(IntRate/12, B289, TermYrs*12, LoanAmt), "")</f>
        <v>2124.69738895846</v>
      </c>
      <c r="F289" s="31" t="n">
        <f aca="false">IF(B289&lt;=TermYrs*12, LoanAmt-SUMIFS($E$5:E289, $B$5:B289, "&lt;="&amp;B289), "")</f>
        <v>33231.2261587224</v>
      </c>
    </row>
    <row r="290" customFormat="false" ht="15" hidden="false" customHeight="false" outlineLevel="0" collapsed="false">
      <c r="B290" s="30" t="n">
        <v>286</v>
      </c>
      <c r="C290" s="31" t="n">
        <f aca="false">IF(B290&lt;=TermYrs*12, -PMT(IntRate/12, TermYrs*12, LoanAmt), "")</f>
        <v>2308.84282410265</v>
      </c>
      <c r="D290" s="31" t="n">
        <f aca="false">IF(B290&lt;=TermYrs*12, -IPMT(IntRate/12, B290, TermYrs*12, LoanAmt), "")</f>
        <v>173.079302910036</v>
      </c>
      <c r="E290" s="31" t="n">
        <f aca="false">IF(B290&lt;=TermYrs*12, -PPMT(IntRate/12, B290, TermYrs*12, LoanAmt), "")</f>
        <v>2135.76352119261</v>
      </c>
      <c r="F290" s="31" t="n">
        <f aca="false">IF(B290&lt;=TermYrs*12, LoanAmt-SUMIFS($E$5:E290, $B$5:B290, "&lt;="&amp;B290), "")</f>
        <v>31095.4626375298</v>
      </c>
    </row>
    <row r="291" customFormat="false" ht="15" hidden="false" customHeight="false" outlineLevel="0" collapsed="false">
      <c r="B291" s="30" t="n">
        <v>287</v>
      </c>
      <c r="C291" s="31" t="n">
        <f aca="false">IF(B291&lt;=TermYrs*12, -PMT(IntRate/12, TermYrs*12, LoanAmt), "")</f>
        <v>2308.84282410265</v>
      </c>
      <c r="D291" s="31" t="n">
        <f aca="false">IF(B291&lt;=TermYrs*12, -IPMT(IntRate/12, B291, TermYrs*12, LoanAmt), "")</f>
        <v>161.955534570491</v>
      </c>
      <c r="E291" s="31" t="n">
        <f aca="false">IF(B291&lt;=TermYrs*12, -PPMT(IntRate/12, B291, TermYrs*12, LoanAmt), "")</f>
        <v>2146.88728953216</v>
      </c>
      <c r="F291" s="31" t="n">
        <f aca="false">IF(B291&lt;=TermYrs*12, LoanAmt-SUMIFS($E$5:E291, $B$5:B291, "&lt;="&amp;B291), "")</f>
        <v>28948.5753479977</v>
      </c>
    </row>
    <row r="292" customFormat="false" ht="15" hidden="false" customHeight="false" outlineLevel="0" collapsed="false">
      <c r="B292" s="30" t="n">
        <v>288</v>
      </c>
      <c r="C292" s="31" t="n">
        <f aca="false">IF(B292&lt;=TermYrs*12, -PMT(IntRate/12, TermYrs*12, LoanAmt), "")</f>
        <v>2308.84282410265</v>
      </c>
      <c r="D292" s="31" t="n">
        <f aca="false">IF(B292&lt;=TermYrs*12, -IPMT(IntRate/12, B292, TermYrs*12, LoanAmt), "")</f>
        <v>150.773829937511</v>
      </c>
      <c r="E292" s="31" t="n">
        <f aca="false">IF(B292&lt;=TermYrs*12, -PPMT(IntRate/12, B292, TermYrs*12, LoanAmt), "")</f>
        <v>2158.06899416514</v>
      </c>
      <c r="F292" s="31" t="n">
        <f aca="false">IF(B292&lt;=TermYrs*12, LoanAmt-SUMIFS($E$5:E292, $B$5:B292, "&lt;="&amp;B292), "")</f>
        <v>26790.5063538325</v>
      </c>
    </row>
    <row r="293" customFormat="false" ht="15" hidden="false" customHeight="false" outlineLevel="0" collapsed="false">
      <c r="B293" s="30" t="n">
        <v>289</v>
      </c>
      <c r="C293" s="31" t="n">
        <f aca="false">IF(B293&lt;=TermYrs*12, -PMT(IntRate/12, TermYrs*12, LoanAmt), "")</f>
        <v>2308.84282410265</v>
      </c>
      <c r="D293" s="31" t="n">
        <f aca="false">IF(B293&lt;=TermYrs*12, -IPMT(IntRate/12, B293, TermYrs*12, LoanAmt), "")</f>
        <v>139.533887259569</v>
      </c>
      <c r="E293" s="31" t="n">
        <f aca="false">IF(B293&lt;=TermYrs*12, -PPMT(IntRate/12, B293, TermYrs*12, LoanAmt), "")</f>
        <v>2169.30893684308</v>
      </c>
      <c r="F293" s="31" t="n">
        <f aca="false">IF(B293&lt;=TermYrs*12, LoanAmt-SUMIFS($E$5:E293, $B$5:B293, "&lt;="&amp;B293), "")</f>
        <v>24621.1974169894</v>
      </c>
    </row>
    <row r="294" customFormat="false" ht="15" hidden="false" customHeight="false" outlineLevel="0" collapsed="false">
      <c r="B294" s="30" t="n">
        <v>290</v>
      </c>
      <c r="C294" s="31" t="n">
        <f aca="false">IF(B294&lt;=TermYrs*12, -PMT(IntRate/12, TermYrs*12, LoanAmt), "")</f>
        <v>2308.84282410265</v>
      </c>
      <c r="D294" s="31" t="n">
        <f aca="false">IF(B294&lt;=TermYrs*12, -IPMT(IntRate/12, B294, TermYrs*12, LoanAmt), "")</f>
        <v>128.235403213511</v>
      </c>
      <c r="E294" s="31" t="n">
        <f aca="false">IF(B294&lt;=TermYrs*12, -PPMT(IntRate/12, B294, TermYrs*12, LoanAmt), "")</f>
        <v>2180.60742088914</v>
      </c>
      <c r="F294" s="31" t="n">
        <f aca="false">IF(B294&lt;=TermYrs*12, LoanAmt-SUMIFS($E$5:E294, $B$5:B294, "&lt;="&amp;B294), "")</f>
        <v>22440.5899961003</v>
      </c>
    </row>
    <row r="295" customFormat="false" ht="15" hidden="false" customHeight="false" outlineLevel="0" collapsed="false">
      <c r="B295" s="30" t="n">
        <v>291</v>
      </c>
      <c r="C295" s="31" t="n">
        <f aca="false">IF(B295&lt;=TermYrs*12, -PMT(IntRate/12, TermYrs*12, LoanAmt), "")</f>
        <v>2308.84282410265</v>
      </c>
      <c r="D295" s="31" t="n">
        <f aca="false">IF(B295&lt;=TermYrs*12, -IPMT(IntRate/12, B295, TermYrs*12, LoanAmt), "")</f>
        <v>116.878072896379</v>
      </c>
      <c r="E295" s="31" t="n">
        <f aca="false">IF(B295&lt;=TermYrs*12, -PPMT(IntRate/12, B295, TermYrs*12, LoanAmt), "")</f>
        <v>2191.96475120627</v>
      </c>
      <c r="F295" s="31" t="n">
        <f aca="false">IF(B295&lt;=TermYrs*12, LoanAmt-SUMIFS($E$5:E295, $B$5:B295, "&lt;="&amp;B295), "")</f>
        <v>20248.625244894</v>
      </c>
    </row>
    <row r="296" customFormat="false" ht="15" hidden="false" customHeight="false" outlineLevel="0" collapsed="false">
      <c r="B296" s="30" t="n">
        <v>292</v>
      </c>
      <c r="C296" s="31" t="n">
        <f aca="false">IF(B296&lt;=TermYrs*12, -PMT(IntRate/12, TermYrs*12, LoanAmt), "")</f>
        <v>2308.84282410265</v>
      </c>
      <c r="D296" s="31" t="n">
        <f aca="false">IF(B296&lt;=TermYrs*12, -IPMT(IntRate/12, B296, TermYrs*12, LoanAmt), "")</f>
        <v>105.461589817181</v>
      </c>
      <c r="E296" s="31" t="n">
        <f aca="false">IF(B296&lt;=TermYrs*12, -PPMT(IntRate/12, B296, TermYrs*12, LoanAmt), "")</f>
        <v>2203.38123428547</v>
      </c>
      <c r="F296" s="31" t="n">
        <f aca="false">IF(B296&lt;=TermYrs*12, LoanAmt-SUMIFS($E$5:E296, $B$5:B296, "&lt;="&amp;B296), "")</f>
        <v>18045.2440106085</v>
      </c>
    </row>
    <row r="297" customFormat="false" ht="15" hidden="false" customHeight="false" outlineLevel="0" collapsed="false">
      <c r="B297" s="30" t="n">
        <v>293</v>
      </c>
      <c r="C297" s="31" t="n">
        <f aca="false">IF(B297&lt;=TermYrs*12, -PMT(IntRate/12, TermYrs*12, LoanAmt), "")</f>
        <v>2308.84282410265</v>
      </c>
      <c r="D297" s="31" t="n">
        <f aca="false">IF(B297&lt;=TermYrs*12, -IPMT(IntRate/12, B297, TermYrs*12, LoanAmt), "")</f>
        <v>93.9856458886109</v>
      </c>
      <c r="E297" s="31" t="n">
        <f aca="false">IF(B297&lt;=TermYrs*12, -PPMT(IntRate/12, B297, TermYrs*12, LoanAmt), "")</f>
        <v>2214.85717821404</v>
      </c>
      <c r="F297" s="31" t="n">
        <f aca="false">IF(B297&lt;=TermYrs*12, LoanAmt-SUMIFS($E$5:E297, $B$5:B297, "&lt;="&amp;B297), "")</f>
        <v>15830.3868323945</v>
      </c>
    </row>
    <row r="298" customFormat="false" ht="15" hidden="false" customHeight="false" outlineLevel="0" collapsed="false">
      <c r="B298" s="30" t="n">
        <v>294</v>
      </c>
      <c r="C298" s="31" t="n">
        <f aca="false">IF(B298&lt;=TermYrs*12, -PMT(IntRate/12, TermYrs*12, LoanAmt), "")</f>
        <v>2308.84282410265</v>
      </c>
      <c r="D298" s="31" t="n">
        <f aca="false">IF(B298&lt;=TermYrs*12, -IPMT(IntRate/12, B298, TermYrs*12, LoanAmt), "")</f>
        <v>82.4499314187463</v>
      </c>
      <c r="E298" s="31" t="n">
        <f aca="false">IF(B298&lt;=TermYrs*12, -PPMT(IntRate/12, B298, TermYrs*12, LoanAmt), "")</f>
        <v>2226.3928926839</v>
      </c>
      <c r="F298" s="31" t="n">
        <f aca="false">IF(B298&lt;=TermYrs*12, LoanAmt-SUMIFS($E$5:E298, $B$5:B298, "&lt;="&amp;B298), "")</f>
        <v>13603.9939397106</v>
      </c>
    </row>
    <row r="299" customFormat="false" ht="15" hidden="false" customHeight="false" outlineLevel="0" collapsed="false">
      <c r="B299" s="30" t="n">
        <v>295</v>
      </c>
      <c r="C299" s="31" t="n">
        <f aca="false">IF(B299&lt;=TermYrs*12, -PMT(IntRate/12, TermYrs*12, LoanAmt), "")</f>
        <v>2308.84282410265</v>
      </c>
      <c r="D299" s="31" t="n">
        <f aca="false">IF(B299&lt;=TermYrs*12, -IPMT(IntRate/12, B299, TermYrs*12, LoanAmt), "")</f>
        <v>70.8541351026858</v>
      </c>
      <c r="E299" s="31" t="n">
        <f aca="false">IF(B299&lt;=TermYrs*12, -PPMT(IntRate/12, B299, TermYrs*12, LoanAmt), "")</f>
        <v>2237.98868899997</v>
      </c>
      <c r="F299" s="31" t="n">
        <f aca="false">IF(B299&lt;=TermYrs*12, LoanAmt-SUMIFS($E$5:E299, $B$5:B299, "&lt;="&amp;B299), "")</f>
        <v>11366.0052507106</v>
      </c>
    </row>
    <row r="300" customFormat="false" ht="15" hidden="false" customHeight="false" outlineLevel="0" collapsed="false">
      <c r="B300" s="30" t="n">
        <v>296</v>
      </c>
      <c r="C300" s="31" t="n">
        <f aca="false">IF(B300&lt;=TermYrs*12, -PMT(IntRate/12, TermYrs*12, LoanAmt), "")</f>
        <v>2308.84282410265</v>
      </c>
      <c r="D300" s="31" t="n">
        <f aca="false">IF(B300&lt;=TermYrs*12, -IPMT(IntRate/12, B300, TermYrs*12, LoanAmt), "")</f>
        <v>59.197944014144</v>
      </c>
      <c r="E300" s="31" t="n">
        <f aca="false">IF(B300&lt;=TermYrs*12, -PPMT(IntRate/12, B300, TermYrs*12, LoanAmt), "")</f>
        <v>2249.64488008851</v>
      </c>
      <c r="F300" s="31" t="n">
        <f aca="false">IF(B300&lt;=TermYrs*12, LoanAmt-SUMIFS($E$5:E300, $B$5:B300, "&lt;="&amp;B300), "")</f>
        <v>9116.36037062213</v>
      </c>
    </row>
    <row r="301" customFormat="false" ht="15" hidden="false" customHeight="false" outlineLevel="0" collapsed="false">
      <c r="B301" s="30" t="n">
        <v>297</v>
      </c>
      <c r="C301" s="31" t="n">
        <f aca="false">IF(B301&lt;=TermYrs*12, -PMT(IntRate/12, TermYrs*12, LoanAmt), "")</f>
        <v>2308.84282410265</v>
      </c>
      <c r="D301" s="31" t="n">
        <f aca="false">IF(B301&lt;=TermYrs*12, -IPMT(IntRate/12, B301, TermYrs*12, LoanAmt), "")</f>
        <v>47.4810435970163</v>
      </c>
      <c r="E301" s="31" t="n">
        <f aca="false">IF(B301&lt;=TermYrs*12, -PPMT(IntRate/12, B301, TermYrs*12, LoanAmt), "")</f>
        <v>2261.36178050563</v>
      </c>
      <c r="F301" s="31" t="n">
        <f aca="false">IF(B301&lt;=TermYrs*12, LoanAmt-SUMIFS($E$5:E301, $B$5:B301, "&lt;="&amp;B301), "")</f>
        <v>6854.99859011651</v>
      </c>
    </row>
    <row r="302" customFormat="false" ht="15" hidden="false" customHeight="false" outlineLevel="0" collapsed="false">
      <c r="B302" s="30" t="n">
        <v>298</v>
      </c>
      <c r="C302" s="31" t="n">
        <f aca="false">IF(B302&lt;=TermYrs*12, -PMT(IntRate/12, TermYrs*12, LoanAmt), "")</f>
        <v>2308.84282410265</v>
      </c>
      <c r="D302" s="31" t="n">
        <f aca="false">IF(B302&lt;=TermYrs*12, -IPMT(IntRate/12, B302, TermYrs*12, LoanAmt), "")</f>
        <v>35.7031176568817</v>
      </c>
      <c r="E302" s="31" t="n">
        <f aca="false">IF(B302&lt;=TermYrs*12, -PPMT(IntRate/12, B302, TermYrs*12, LoanAmt), "")</f>
        <v>2273.13970644577</v>
      </c>
      <c r="F302" s="31" t="n">
        <f aca="false">IF(B302&lt;=TermYrs*12, LoanAmt-SUMIFS($E$5:E302, $B$5:B302, "&lt;="&amp;B302), "")</f>
        <v>4581.85888367071</v>
      </c>
    </row>
    <row r="303" customFormat="false" ht="15" hidden="false" customHeight="false" outlineLevel="0" collapsed="false">
      <c r="B303" s="30" t="n">
        <v>299</v>
      </c>
      <c r="C303" s="31" t="n">
        <f aca="false">IF(B303&lt;=TermYrs*12, -PMT(IntRate/12, TermYrs*12, LoanAmt), "")</f>
        <v>2308.84282410265</v>
      </c>
      <c r="D303" s="31" t="n">
        <f aca="false">IF(B303&lt;=TermYrs*12, -IPMT(IntRate/12, B303, TermYrs*12, LoanAmt), "")</f>
        <v>23.8638483524774</v>
      </c>
      <c r="E303" s="31" t="n">
        <f aca="false">IF(B303&lt;=TermYrs*12, -PPMT(IntRate/12, B303, TermYrs*12, LoanAmt), "")</f>
        <v>2284.97897575017</v>
      </c>
      <c r="F303" s="31" t="n">
        <f aca="false">IF(B303&lt;=TermYrs*12, LoanAmt-SUMIFS($E$5:E303, $B$5:B303, "&lt;="&amp;B303), "")</f>
        <v>2296.87990792055</v>
      </c>
    </row>
    <row r="304" customFormat="false" ht="15" hidden="false" customHeight="false" outlineLevel="0" collapsed="false">
      <c r="B304" s="30" t="n">
        <v>300</v>
      </c>
      <c r="C304" s="31" t="n">
        <f aca="false">IF(B304&lt;=TermYrs*12, -PMT(IntRate/12, TermYrs*12, LoanAmt), "")</f>
        <v>2308.84282410265</v>
      </c>
      <c r="D304" s="31" t="n">
        <f aca="false">IF(B304&lt;=TermYrs*12, -IPMT(IntRate/12, B304, TermYrs*12, LoanAmt), "")</f>
        <v>11.9629161871114</v>
      </c>
      <c r="E304" s="31" t="n">
        <f aca="false">IF(B304&lt;=TermYrs*12, -PPMT(IntRate/12, B304, TermYrs*12, LoanAmt), "")</f>
        <v>2296.87990791554</v>
      </c>
      <c r="F304" s="31" t="n">
        <f aca="false">IF(B304&lt;=TermYrs*12, LoanAmt-SUMIFS($E$5:E304, $B$5:B304, "&lt;="&amp;B304), "")</f>
        <v>5.0058588385582E-009</v>
      </c>
    </row>
    <row r="305" customFormat="false" ht="15" hidden="false" customHeight="false" outlineLevel="0" collapsed="false">
      <c r="B305" s="30" t="n">
        <v>301</v>
      </c>
      <c r="C305" s="31" t="str">
        <f aca="false">IF(B305&lt;=TermYrs*12, -PMT(IntRate/12, TermYrs*12, LoanAmt), "")</f>
        <v/>
      </c>
      <c r="D305" s="31" t="str">
        <f aca="false">IF(B305&lt;=TermYrs*12, -IPMT(IntRate/12, B305, TermYrs*12, LoanAmt), "")</f>
        <v/>
      </c>
      <c r="E305" s="31" t="str">
        <f aca="false">IF(B305&lt;=TermYrs*12, -PPMT(IntRate/12, B305, TermYrs*12, LoanAmt), "")</f>
        <v/>
      </c>
      <c r="F305" s="31" t="str">
        <f aca="false">IF(B305&lt;=TermYrs*12, LoanAmt-SUMIFS($E$5:E305, $B$5:B305, "&lt;="&amp;B305), "")</f>
        <v/>
      </c>
    </row>
    <row r="306" customFormat="false" ht="15" hidden="false" customHeight="false" outlineLevel="0" collapsed="false">
      <c r="B306" s="30" t="n">
        <v>302</v>
      </c>
      <c r="C306" s="31" t="str">
        <f aca="false">IF(B306&lt;=TermYrs*12, -PMT(IntRate/12, TermYrs*12, LoanAmt), "")</f>
        <v/>
      </c>
      <c r="D306" s="31" t="str">
        <f aca="false">IF(B306&lt;=TermYrs*12, -IPMT(IntRate/12, B306, TermYrs*12, LoanAmt), "")</f>
        <v/>
      </c>
      <c r="E306" s="31" t="str">
        <f aca="false">IF(B306&lt;=TermYrs*12, -PPMT(IntRate/12, B306, TermYrs*12, LoanAmt), "")</f>
        <v/>
      </c>
      <c r="F306" s="31" t="str">
        <f aca="false">IF(B306&lt;=TermYrs*12, LoanAmt-SUMIFS($E$5:E306, $B$5:B306, "&lt;="&amp;B306), "")</f>
        <v/>
      </c>
    </row>
    <row r="307" customFormat="false" ht="15" hidden="false" customHeight="false" outlineLevel="0" collapsed="false">
      <c r="B307" s="30" t="n">
        <v>303</v>
      </c>
      <c r="C307" s="31" t="str">
        <f aca="false">IF(B307&lt;=TermYrs*12, -PMT(IntRate/12, TermYrs*12, LoanAmt), "")</f>
        <v/>
      </c>
      <c r="D307" s="31" t="str">
        <f aca="false">IF(B307&lt;=TermYrs*12, -IPMT(IntRate/12, B307, TermYrs*12, LoanAmt), "")</f>
        <v/>
      </c>
      <c r="E307" s="31" t="str">
        <f aca="false">IF(B307&lt;=TermYrs*12, -PPMT(IntRate/12, B307, TermYrs*12, LoanAmt), "")</f>
        <v/>
      </c>
      <c r="F307" s="31" t="str">
        <f aca="false">IF(B307&lt;=TermYrs*12, LoanAmt-SUMIFS($E$5:E307, $B$5:B307, "&lt;="&amp;B307), "")</f>
        <v/>
      </c>
    </row>
    <row r="308" customFormat="false" ht="15" hidden="false" customHeight="false" outlineLevel="0" collapsed="false">
      <c r="B308" s="30" t="n">
        <v>304</v>
      </c>
      <c r="C308" s="31" t="str">
        <f aca="false">IF(B308&lt;=TermYrs*12, -PMT(IntRate/12, TermYrs*12, LoanAmt), "")</f>
        <v/>
      </c>
      <c r="D308" s="31" t="str">
        <f aca="false">IF(B308&lt;=TermYrs*12, -IPMT(IntRate/12, B308, TermYrs*12, LoanAmt), "")</f>
        <v/>
      </c>
      <c r="E308" s="31" t="str">
        <f aca="false">IF(B308&lt;=TermYrs*12, -PPMT(IntRate/12, B308, TermYrs*12, LoanAmt), "")</f>
        <v/>
      </c>
      <c r="F308" s="31" t="str">
        <f aca="false">IF(B308&lt;=TermYrs*12, LoanAmt-SUMIFS($E$5:E308, $B$5:B308, "&lt;="&amp;B308), "")</f>
        <v/>
      </c>
    </row>
    <row r="309" customFormat="false" ht="15" hidden="false" customHeight="false" outlineLevel="0" collapsed="false">
      <c r="B309" s="30" t="n">
        <v>305</v>
      </c>
      <c r="C309" s="31" t="str">
        <f aca="false">IF(B309&lt;=TermYrs*12, -PMT(IntRate/12, TermYrs*12, LoanAmt), "")</f>
        <v/>
      </c>
      <c r="D309" s="31" t="str">
        <f aca="false">IF(B309&lt;=TermYrs*12, -IPMT(IntRate/12, B309, TermYrs*12, LoanAmt), "")</f>
        <v/>
      </c>
      <c r="E309" s="31" t="str">
        <f aca="false">IF(B309&lt;=TermYrs*12, -PPMT(IntRate/12, B309, TermYrs*12, LoanAmt), "")</f>
        <v/>
      </c>
      <c r="F309" s="31" t="str">
        <f aca="false">IF(B309&lt;=TermYrs*12, LoanAmt-SUMIFS($E$5:E309, $B$5:B309, "&lt;="&amp;B309), "")</f>
        <v/>
      </c>
    </row>
    <row r="310" customFormat="false" ht="15" hidden="false" customHeight="false" outlineLevel="0" collapsed="false">
      <c r="B310" s="30" t="n">
        <v>306</v>
      </c>
      <c r="C310" s="31" t="str">
        <f aca="false">IF(B310&lt;=TermYrs*12, -PMT(IntRate/12, TermYrs*12, LoanAmt), "")</f>
        <v/>
      </c>
      <c r="D310" s="31" t="str">
        <f aca="false">IF(B310&lt;=TermYrs*12, -IPMT(IntRate/12, B310, TermYrs*12, LoanAmt), "")</f>
        <v/>
      </c>
      <c r="E310" s="31" t="str">
        <f aca="false">IF(B310&lt;=TermYrs*12, -PPMT(IntRate/12, B310, TermYrs*12, LoanAmt), "")</f>
        <v/>
      </c>
      <c r="F310" s="31" t="str">
        <f aca="false">IF(B310&lt;=TermYrs*12, LoanAmt-SUMIFS($E$5:E310, $B$5:B310, "&lt;="&amp;B310), "")</f>
        <v/>
      </c>
    </row>
    <row r="311" customFormat="false" ht="15" hidden="false" customHeight="false" outlineLevel="0" collapsed="false">
      <c r="B311" s="30" t="n">
        <v>307</v>
      </c>
      <c r="C311" s="31" t="str">
        <f aca="false">IF(B311&lt;=TermYrs*12, -PMT(IntRate/12, TermYrs*12, LoanAmt), "")</f>
        <v/>
      </c>
      <c r="D311" s="31" t="str">
        <f aca="false">IF(B311&lt;=TermYrs*12, -IPMT(IntRate/12, B311, TermYrs*12, LoanAmt), "")</f>
        <v/>
      </c>
      <c r="E311" s="31" t="str">
        <f aca="false">IF(B311&lt;=TermYrs*12, -PPMT(IntRate/12, B311, TermYrs*12, LoanAmt), "")</f>
        <v/>
      </c>
      <c r="F311" s="31" t="str">
        <f aca="false">IF(B311&lt;=TermYrs*12, LoanAmt-SUMIFS($E$5:E311, $B$5:B311, "&lt;="&amp;B311), "")</f>
        <v/>
      </c>
    </row>
    <row r="312" customFormat="false" ht="15" hidden="false" customHeight="false" outlineLevel="0" collapsed="false">
      <c r="B312" s="30" t="n">
        <v>308</v>
      </c>
      <c r="C312" s="31" t="str">
        <f aca="false">IF(B312&lt;=TermYrs*12, -PMT(IntRate/12, TermYrs*12, LoanAmt), "")</f>
        <v/>
      </c>
      <c r="D312" s="31" t="str">
        <f aca="false">IF(B312&lt;=TermYrs*12, -IPMT(IntRate/12, B312, TermYrs*12, LoanAmt), "")</f>
        <v/>
      </c>
      <c r="E312" s="31" t="str">
        <f aca="false">IF(B312&lt;=TermYrs*12, -PPMT(IntRate/12, B312, TermYrs*12, LoanAmt), "")</f>
        <v/>
      </c>
      <c r="F312" s="31" t="str">
        <f aca="false">IF(B312&lt;=TermYrs*12, LoanAmt-SUMIFS($E$5:E312, $B$5:B312, "&lt;="&amp;B312), "")</f>
        <v/>
      </c>
    </row>
    <row r="313" customFormat="false" ht="15" hidden="false" customHeight="false" outlineLevel="0" collapsed="false">
      <c r="B313" s="30" t="n">
        <v>309</v>
      </c>
      <c r="C313" s="31" t="str">
        <f aca="false">IF(B313&lt;=TermYrs*12, -PMT(IntRate/12, TermYrs*12, LoanAmt), "")</f>
        <v/>
      </c>
      <c r="D313" s="31" t="str">
        <f aca="false">IF(B313&lt;=TermYrs*12, -IPMT(IntRate/12, B313, TermYrs*12, LoanAmt), "")</f>
        <v/>
      </c>
      <c r="E313" s="31" t="str">
        <f aca="false">IF(B313&lt;=TermYrs*12, -PPMT(IntRate/12, B313, TermYrs*12, LoanAmt), "")</f>
        <v/>
      </c>
      <c r="F313" s="31" t="str">
        <f aca="false">IF(B313&lt;=TermYrs*12, LoanAmt-SUMIFS($E$5:E313, $B$5:B313, "&lt;="&amp;B313), "")</f>
        <v/>
      </c>
    </row>
    <row r="314" customFormat="false" ht="15" hidden="false" customHeight="false" outlineLevel="0" collapsed="false">
      <c r="B314" s="30" t="n">
        <v>310</v>
      </c>
      <c r="C314" s="31" t="str">
        <f aca="false">IF(B314&lt;=TermYrs*12, -PMT(IntRate/12, TermYrs*12, LoanAmt), "")</f>
        <v/>
      </c>
      <c r="D314" s="31" t="str">
        <f aca="false">IF(B314&lt;=TermYrs*12, -IPMT(IntRate/12, B314, TermYrs*12, LoanAmt), "")</f>
        <v/>
      </c>
      <c r="E314" s="31" t="str">
        <f aca="false">IF(B314&lt;=TermYrs*12, -PPMT(IntRate/12, B314, TermYrs*12, LoanAmt), "")</f>
        <v/>
      </c>
      <c r="F314" s="31" t="str">
        <f aca="false">IF(B314&lt;=TermYrs*12, LoanAmt-SUMIFS($E$5:E314, $B$5:B314, "&lt;="&amp;B314), "")</f>
        <v/>
      </c>
    </row>
    <row r="315" customFormat="false" ht="15" hidden="false" customHeight="false" outlineLevel="0" collapsed="false">
      <c r="B315" s="30" t="n">
        <v>311</v>
      </c>
      <c r="C315" s="31" t="str">
        <f aca="false">IF(B315&lt;=TermYrs*12, -PMT(IntRate/12, TermYrs*12, LoanAmt), "")</f>
        <v/>
      </c>
      <c r="D315" s="31" t="str">
        <f aca="false">IF(B315&lt;=TermYrs*12, -IPMT(IntRate/12, B315, TermYrs*12, LoanAmt), "")</f>
        <v/>
      </c>
      <c r="E315" s="31" t="str">
        <f aca="false">IF(B315&lt;=TermYrs*12, -PPMT(IntRate/12, B315, TermYrs*12, LoanAmt), "")</f>
        <v/>
      </c>
      <c r="F315" s="31" t="str">
        <f aca="false">IF(B315&lt;=TermYrs*12, LoanAmt-SUMIFS($E$5:E315, $B$5:B315, "&lt;="&amp;B315), "")</f>
        <v/>
      </c>
    </row>
    <row r="316" customFormat="false" ht="15" hidden="false" customHeight="false" outlineLevel="0" collapsed="false">
      <c r="B316" s="30" t="n">
        <v>312</v>
      </c>
      <c r="C316" s="31" t="str">
        <f aca="false">IF(B316&lt;=TermYrs*12, -PMT(IntRate/12, TermYrs*12, LoanAmt), "")</f>
        <v/>
      </c>
      <c r="D316" s="31" t="str">
        <f aca="false">IF(B316&lt;=TermYrs*12, -IPMT(IntRate/12, B316, TermYrs*12, LoanAmt), "")</f>
        <v/>
      </c>
      <c r="E316" s="31" t="str">
        <f aca="false">IF(B316&lt;=TermYrs*12, -PPMT(IntRate/12, B316, TermYrs*12, LoanAmt), "")</f>
        <v/>
      </c>
      <c r="F316" s="31" t="str">
        <f aca="false">IF(B316&lt;=TermYrs*12, LoanAmt-SUMIFS($E$5:E316, $B$5:B316, "&lt;="&amp;B316), "")</f>
        <v/>
      </c>
    </row>
    <row r="317" customFormat="false" ht="15" hidden="false" customHeight="false" outlineLevel="0" collapsed="false">
      <c r="B317" s="30" t="n">
        <v>313</v>
      </c>
      <c r="C317" s="31" t="str">
        <f aca="false">IF(B317&lt;=TermYrs*12, -PMT(IntRate/12, TermYrs*12, LoanAmt), "")</f>
        <v/>
      </c>
      <c r="D317" s="31" t="str">
        <f aca="false">IF(B317&lt;=TermYrs*12, -IPMT(IntRate/12, B317, TermYrs*12, LoanAmt), "")</f>
        <v/>
      </c>
      <c r="E317" s="31" t="str">
        <f aca="false">IF(B317&lt;=TermYrs*12, -PPMT(IntRate/12, B317, TermYrs*12, LoanAmt), "")</f>
        <v/>
      </c>
      <c r="F317" s="31" t="str">
        <f aca="false">IF(B317&lt;=TermYrs*12, LoanAmt-SUMIFS($E$5:E317, $B$5:B317, "&lt;="&amp;B317), "")</f>
        <v/>
      </c>
    </row>
    <row r="318" customFormat="false" ht="15" hidden="false" customHeight="false" outlineLevel="0" collapsed="false">
      <c r="B318" s="30" t="n">
        <v>314</v>
      </c>
      <c r="C318" s="31" t="str">
        <f aca="false">IF(B318&lt;=TermYrs*12, -PMT(IntRate/12, TermYrs*12, LoanAmt), "")</f>
        <v/>
      </c>
      <c r="D318" s="31" t="str">
        <f aca="false">IF(B318&lt;=TermYrs*12, -IPMT(IntRate/12, B318, TermYrs*12, LoanAmt), "")</f>
        <v/>
      </c>
      <c r="E318" s="31" t="str">
        <f aca="false">IF(B318&lt;=TermYrs*12, -PPMT(IntRate/12, B318, TermYrs*12, LoanAmt), "")</f>
        <v/>
      </c>
      <c r="F318" s="31" t="str">
        <f aca="false">IF(B318&lt;=TermYrs*12, LoanAmt-SUMIFS($E$5:E318, $B$5:B318, "&lt;="&amp;B318), "")</f>
        <v/>
      </c>
    </row>
    <row r="319" customFormat="false" ht="15" hidden="false" customHeight="false" outlineLevel="0" collapsed="false">
      <c r="B319" s="30" t="n">
        <v>315</v>
      </c>
      <c r="C319" s="31" t="str">
        <f aca="false">IF(B319&lt;=TermYrs*12, -PMT(IntRate/12, TermYrs*12, LoanAmt), "")</f>
        <v/>
      </c>
      <c r="D319" s="31" t="str">
        <f aca="false">IF(B319&lt;=TermYrs*12, -IPMT(IntRate/12, B319, TermYrs*12, LoanAmt), "")</f>
        <v/>
      </c>
      <c r="E319" s="31" t="str">
        <f aca="false">IF(B319&lt;=TermYrs*12, -PPMT(IntRate/12, B319, TermYrs*12, LoanAmt), "")</f>
        <v/>
      </c>
      <c r="F319" s="31" t="str">
        <f aca="false">IF(B319&lt;=TermYrs*12, LoanAmt-SUMIFS($E$5:E319, $B$5:B319, "&lt;="&amp;B319), "")</f>
        <v/>
      </c>
    </row>
    <row r="320" customFormat="false" ht="15" hidden="false" customHeight="false" outlineLevel="0" collapsed="false">
      <c r="B320" s="30" t="n">
        <v>316</v>
      </c>
      <c r="C320" s="31" t="str">
        <f aca="false">IF(B320&lt;=TermYrs*12, -PMT(IntRate/12, TermYrs*12, LoanAmt), "")</f>
        <v/>
      </c>
      <c r="D320" s="31" t="str">
        <f aca="false">IF(B320&lt;=TermYrs*12, -IPMT(IntRate/12, B320, TermYrs*12, LoanAmt), "")</f>
        <v/>
      </c>
      <c r="E320" s="31" t="str">
        <f aca="false">IF(B320&lt;=TermYrs*12, -PPMT(IntRate/12, B320, TermYrs*12, LoanAmt), "")</f>
        <v/>
      </c>
      <c r="F320" s="31" t="str">
        <f aca="false">IF(B320&lt;=TermYrs*12, LoanAmt-SUMIFS($E$5:E320, $B$5:B320, "&lt;="&amp;B320), "")</f>
        <v/>
      </c>
    </row>
    <row r="321" customFormat="false" ht="15" hidden="false" customHeight="false" outlineLevel="0" collapsed="false">
      <c r="B321" s="30" t="n">
        <v>317</v>
      </c>
      <c r="C321" s="31" t="str">
        <f aca="false">IF(B321&lt;=TermYrs*12, -PMT(IntRate/12, TermYrs*12, LoanAmt), "")</f>
        <v/>
      </c>
      <c r="D321" s="31" t="str">
        <f aca="false">IF(B321&lt;=TermYrs*12, -IPMT(IntRate/12, B321, TermYrs*12, LoanAmt), "")</f>
        <v/>
      </c>
      <c r="E321" s="31" t="str">
        <f aca="false">IF(B321&lt;=TermYrs*12, -PPMT(IntRate/12, B321, TermYrs*12, LoanAmt), "")</f>
        <v/>
      </c>
      <c r="F321" s="31" t="str">
        <f aca="false">IF(B321&lt;=TermYrs*12, LoanAmt-SUMIFS($E$5:E321, $B$5:B321, "&lt;="&amp;B321), "")</f>
        <v/>
      </c>
    </row>
    <row r="322" customFormat="false" ht="15" hidden="false" customHeight="false" outlineLevel="0" collapsed="false">
      <c r="B322" s="30" t="n">
        <v>318</v>
      </c>
      <c r="C322" s="31" t="str">
        <f aca="false">IF(B322&lt;=TermYrs*12, -PMT(IntRate/12, TermYrs*12, LoanAmt), "")</f>
        <v/>
      </c>
      <c r="D322" s="31" t="str">
        <f aca="false">IF(B322&lt;=TermYrs*12, -IPMT(IntRate/12, B322, TermYrs*12, LoanAmt), "")</f>
        <v/>
      </c>
      <c r="E322" s="31" t="str">
        <f aca="false">IF(B322&lt;=TermYrs*12, -PPMT(IntRate/12, B322, TermYrs*12, LoanAmt), "")</f>
        <v/>
      </c>
      <c r="F322" s="31" t="str">
        <f aca="false">IF(B322&lt;=TermYrs*12, LoanAmt-SUMIFS($E$5:E322, $B$5:B322, "&lt;="&amp;B322), "")</f>
        <v/>
      </c>
    </row>
    <row r="323" customFormat="false" ht="15" hidden="false" customHeight="false" outlineLevel="0" collapsed="false">
      <c r="B323" s="30" t="n">
        <v>319</v>
      </c>
      <c r="C323" s="31" t="str">
        <f aca="false">IF(B323&lt;=TermYrs*12, -PMT(IntRate/12, TermYrs*12, LoanAmt), "")</f>
        <v/>
      </c>
      <c r="D323" s="31" t="str">
        <f aca="false">IF(B323&lt;=TermYrs*12, -IPMT(IntRate/12, B323, TermYrs*12, LoanAmt), "")</f>
        <v/>
      </c>
      <c r="E323" s="31" t="str">
        <f aca="false">IF(B323&lt;=TermYrs*12, -PPMT(IntRate/12, B323, TermYrs*12, LoanAmt), "")</f>
        <v/>
      </c>
      <c r="F323" s="31" t="str">
        <f aca="false">IF(B323&lt;=TermYrs*12, LoanAmt-SUMIFS($E$5:E323, $B$5:B323, "&lt;="&amp;B323), "")</f>
        <v/>
      </c>
    </row>
    <row r="324" customFormat="false" ht="15" hidden="false" customHeight="false" outlineLevel="0" collapsed="false">
      <c r="B324" s="30" t="n">
        <v>320</v>
      </c>
      <c r="C324" s="31" t="str">
        <f aca="false">IF(B324&lt;=TermYrs*12, -PMT(IntRate/12, TermYrs*12, LoanAmt), "")</f>
        <v/>
      </c>
      <c r="D324" s="31" t="str">
        <f aca="false">IF(B324&lt;=TermYrs*12, -IPMT(IntRate/12, B324, TermYrs*12, LoanAmt), "")</f>
        <v/>
      </c>
      <c r="E324" s="31" t="str">
        <f aca="false">IF(B324&lt;=TermYrs*12, -PPMT(IntRate/12, B324, TermYrs*12, LoanAmt), "")</f>
        <v/>
      </c>
      <c r="F324" s="31" t="str">
        <f aca="false">IF(B324&lt;=TermYrs*12, LoanAmt-SUMIFS($E$5:E324, $B$5:B324, "&lt;="&amp;B324), "")</f>
        <v/>
      </c>
    </row>
    <row r="325" customFormat="false" ht="15" hidden="false" customHeight="false" outlineLevel="0" collapsed="false">
      <c r="B325" s="30" t="n">
        <v>321</v>
      </c>
      <c r="C325" s="31" t="str">
        <f aca="false">IF(B325&lt;=TermYrs*12, -PMT(IntRate/12, TermYrs*12, LoanAmt), "")</f>
        <v/>
      </c>
      <c r="D325" s="31" t="str">
        <f aca="false">IF(B325&lt;=TermYrs*12, -IPMT(IntRate/12, B325, TermYrs*12, LoanAmt), "")</f>
        <v/>
      </c>
      <c r="E325" s="31" t="str">
        <f aca="false">IF(B325&lt;=TermYrs*12, -PPMT(IntRate/12, B325, TermYrs*12, LoanAmt), "")</f>
        <v/>
      </c>
      <c r="F325" s="31" t="str">
        <f aca="false">IF(B325&lt;=TermYrs*12, LoanAmt-SUMIFS($E$5:E325, $B$5:B325, "&lt;="&amp;B325), "")</f>
        <v/>
      </c>
    </row>
    <row r="326" customFormat="false" ht="15" hidden="false" customHeight="false" outlineLevel="0" collapsed="false">
      <c r="B326" s="30" t="n">
        <v>322</v>
      </c>
      <c r="C326" s="31" t="str">
        <f aca="false">IF(B326&lt;=TermYrs*12, -PMT(IntRate/12, TermYrs*12, LoanAmt), "")</f>
        <v/>
      </c>
      <c r="D326" s="31" t="str">
        <f aca="false">IF(B326&lt;=TermYrs*12, -IPMT(IntRate/12, B326, TermYrs*12, LoanAmt), "")</f>
        <v/>
      </c>
      <c r="E326" s="31" t="str">
        <f aca="false">IF(B326&lt;=TermYrs*12, -PPMT(IntRate/12, B326, TermYrs*12, LoanAmt), "")</f>
        <v/>
      </c>
      <c r="F326" s="31" t="str">
        <f aca="false">IF(B326&lt;=TermYrs*12, LoanAmt-SUMIFS($E$5:E326, $B$5:B326, "&lt;="&amp;B326), "")</f>
        <v/>
      </c>
    </row>
    <row r="327" customFormat="false" ht="15" hidden="false" customHeight="false" outlineLevel="0" collapsed="false">
      <c r="B327" s="30" t="n">
        <v>323</v>
      </c>
      <c r="C327" s="31" t="str">
        <f aca="false">IF(B327&lt;=TermYrs*12, -PMT(IntRate/12, TermYrs*12, LoanAmt), "")</f>
        <v/>
      </c>
      <c r="D327" s="31" t="str">
        <f aca="false">IF(B327&lt;=TermYrs*12, -IPMT(IntRate/12, B327, TermYrs*12, LoanAmt), "")</f>
        <v/>
      </c>
      <c r="E327" s="31" t="str">
        <f aca="false">IF(B327&lt;=TermYrs*12, -PPMT(IntRate/12, B327, TermYrs*12, LoanAmt), "")</f>
        <v/>
      </c>
      <c r="F327" s="31" t="str">
        <f aca="false">IF(B327&lt;=TermYrs*12, LoanAmt-SUMIFS($E$5:E327, $B$5:B327, "&lt;="&amp;B327), "")</f>
        <v/>
      </c>
    </row>
    <row r="328" customFormat="false" ht="15" hidden="false" customHeight="false" outlineLevel="0" collapsed="false">
      <c r="B328" s="30" t="n">
        <v>324</v>
      </c>
      <c r="C328" s="31" t="str">
        <f aca="false">IF(B328&lt;=TermYrs*12, -PMT(IntRate/12, TermYrs*12, LoanAmt), "")</f>
        <v/>
      </c>
      <c r="D328" s="31" t="str">
        <f aca="false">IF(B328&lt;=TermYrs*12, -IPMT(IntRate/12, B328, TermYrs*12, LoanAmt), "")</f>
        <v/>
      </c>
      <c r="E328" s="31" t="str">
        <f aca="false">IF(B328&lt;=TermYrs*12, -PPMT(IntRate/12, B328, TermYrs*12, LoanAmt), "")</f>
        <v/>
      </c>
      <c r="F328" s="31" t="str">
        <f aca="false">IF(B328&lt;=TermYrs*12, LoanAmt-SUMIFS($E$5:E328, $B$5:B328, "&lt;="&amp;B328), "")</f>
        <v/>
      </c>
    </row>
    <row r="329" customFormat="false" ht="15" hidden="false" customHeight="false" outlineLevel="0" collapsed="false">
      <c r="B329" s="30" t="n">
        <v>325</v>
      </c>
      <c r="C329" s="31" t="str">
        <f aca="false">IF(B329&lt;=TermYrs*12, -PMT(IntRate/12, TermYrs*12, LoanAmt), "")</f>
        <v/>
      </c>
      <c r="D329" s="31" t="str">
        <f aca="false">IF(B329&lt;=TermYrs*12, -IPMT(IntRate/12, B329, TermYrs*12, LoanAmt), "")</f>
        <v/>
      </c>
      <c r="E329" s="31" t="str">
        <f aca="false">IF(B329&lt;=TermYrs*12, -PPMT(IntRate/12, B329, TermYrs*12, LoanAmt), "")</f>
        <v/>
      </c>
      <c r="F329" s="31" t="str">
        <f aca="false">IF(B329&lt;=TermYrs*12, LoanAmt-SUMIFS($E$5:E329, $B$5:B329, "&lt;="&amp;B329), "")</f>
        <v/>
      </c>
    </row>
    <row r="330" customFormat="false" ht="15" hidden="false" customHeight="false" outlineLevel="0" collapsed="false">
      <c r="B330" s="30" t="n">
        <v>326</v>
      </c>
      <c r="C330" s="31" t="str">
        <f aca="false">IF(B330&lt;=TermYrs*12, -PMT(IntRate/12, TermYrs*12, LoanAmt), "")</f>
        <v/>
      </c>
      <c r="D330" s="31" t="str">
        <f aca="false">IF(B330&lt;=TermYrs*12, -IPMT(IntRate/12, B330, TermYrs*12, LoanAmt), "")</f>
        <v/>
      </c>
      <c r="E330" s="31" t="str">
        <f aca="false">IF(B330&lt;=TermYrs*12, -PPMT(IntRate/12, B330, TermYrs*12, LoanAmt), "")</f>
        <v/>
      </c>
      <c r="F330" s="31" t="str">
        <f aca="false">IF(B330&lt;=TermYrs*12, LoanAmt-SUMIFS($E$5:E330, $B$5:B330, "&lt;="&amp;B330), "")</f>
        <v/>
      </c>
    </row>
    <row r="331" customFormat="false" ht="15" hidden="false" customHeight="false" outlineLevel="0" collapsed="false">
      <c r="B331" s="30" t="n">
        <v>327</v>
      </c>
      <c r="C331" s="31" t="str">
        <f aca="false">IF(B331&lt;=TermYrs*12, -PMT(IntRate/12, TermYrs*12, LoanAmt), "")</f>
        <v/>
      </c>
      <c r="D331" s="31" t="str">
        <f aca="false">IF(B331&lt;=TermYrs*12, -IPMT(IntRate/12, B331, TermYrs*12, LoanAmt), "")</f>
        <v/>
      </c>
      <c r="E331" s="31" t="str">
        <f aca="false">IF(B331&lt;=TermYrs*12, -PPMT(IntRate/12, B331, TermYrs*12, LoanAmt), "")</f>
        <v/>
      </c>
      <c r="F331" s="31" t="str">
        <f aca="false">IF(B331&lt;=TermYrs*12, LoanAmt-SUMIFS($E$5:E331, $B$5:B331, "&lt;="&amp;B331), "")</f>
        <v/>
      </c>
    </row>
    <row r="332" customFormat="false" ht="15" hidden="false" customHeight="false" outlineLevel="0" collapsed="false">
      <c r="B332" s="30" t="n">
        <v>328</v>
      </c>
      <c r="C332" s="31" t="str">
        <f aca="false">IF(B332&lt;=TermYrs*12, -PMT(IntRate/12, TermYrs*12, LoanAmt), "")</f>
        <v/>
      </c>
      <c r="D332" s="31" t="str">
        <f aca="false">IF(B332&lt;=TermYrs*12, -IPMT(IntRate/12, B332, TermYrs*12, LoanAmt), "")</f>
        <v/>
      </c>
      <c r="E332" s="31" t="str">
        <f aca="false">IF(B332&lt;=TermYrs*12, -PPMT(IntRate/12, B332, TermYrs*12, LoanAmt), "")</f>
        <v/>
      </c>
      <c r="F332" s="31" t="str">
        <f aca="false">IF(B332&lt;=TermYrs*12, LoanAmt-SUMIFS($E$5:E332, $B$5:B332, "&lt;="&amp;B332), "")</f>
        <v/>
      </c>
    </row>
    <row r="333" customFormat="false" ht="15" hidden="false" customHeight="false" outlineLevel="0" collapsed="false">
      <c r="B333" s="30" t="n">
        <v>329</v>
      </c>
      <c r="C333" s="31" t="str">
        <f aca="false">IF(B333&lt;=TermYrs*12, -PMT(IntRate/12, TermYrs*12, LoanAmt), "")</f>
        <v/>
      </c>
      <c r="D333" s="31" t="str">
        <f aca="false">IF(B333&lt;=TermYrs*12, -IPMT(IntRate/12, B333, TermYrs*12, LoanAmt), "")</f>
        <v/>
      </c>
      <c r="E333" s="31" t="str">
        <f aca="false">IF(B333&lt;=TermYrs*12, -PPMT(IntRate/12, B333, TermYrs*12, LoanAmt), "")</f>
        <v/>
      </c>
      <c r="F333" s="31" t="str">
        <f aca="false">IF(B333&lt;=TermYrs*12, LoanAmt-SUMIFS($E$5:E333, $B$5:B333, "&lt;="&amp;B333), "")</f>
        <v/>
      </c>
    </row>
    <row r="334" customFormat="false" ht="15" hidden="false" customHeight="false" outlineLevel="0" collapsed="false">
      <c r="B334" s="30" t="n">
        <v>330</v>
      </c>
      <c r="C334" s="31" t="str">
        <f aca="false">IF(B334&lt;=TermYrs*12, -PMT(IntRate/12, TermYrs*12, LoanAmt), "")</f>
        <v/>
      </c>
      <c r="D334" s="31" t="str">
        <f aca="false">IF(B334&lt;=TermYrs*12, -IPMT(IntRate/12, B334, TermYrs*12, LoanAmt), "")</f>
        <v/>
      </c>
      <c r="E334" s="31" t="str">
        <f aca="false">IF(B334&lt;=TermYrs*12, -PPMT(IntRate/12, B334, TermYrs*12, LoanAmt), "")</f>
        <v/>
      </c>
      <c r="F334" s="31" t="str">
        <f aca="false">IF(B334&lt;=TermYrs*12, LoanAmt-SUMIFS($E$5:E334, $B$5:B334, "&lt;="&amp;B334), "")</f>
        <v/>
      </c>
    </row>
    <row r="335" customFormat="false" ht="15" hidden="false" customHeight="false" outlineLevel="0" collapsed="false">
      <c r="B335" s="30" t="n">
        <v>331</v>
      </c>
      <c r="C335" s="31" t="str">
        <f aca="false">IF(B335&lt;=TermYrs*12, -PMT(IntRate/12, TermYrs*12, LoanAmt), "")</f>
        <v/>
      </c>
      <c r="D335" s="31" t="str">
        <f aca="false">IF(B335&lt;=TermYrs*12, -IPMT(IntRate/12, B335, TermYrs*12, LoanAmt), "")</f>
        <v/>
      </c>
      <c r="E335" s="31" t="str">
        <f aca="false">IF(B335&lt;=TermYrs*12, -PPMT(IntRate/12, B335, TermYrs*12, LoanAmt), "")</f>
        <v/>
      </c>
      <c r="F335" s="31" t="str">
        <f aca="false">IF(B335&lt;=TermYrs*12, LoanAmt-SUMIFS($E$5:E335, $B$5:B335, "&lt;="&amp;B335), "")</f>
        <v/>
      </c>
    </row>
    <row r="336" customFormat="false" ht="15" hidden="false" customHeight="false" outlineLevel="0" collapsed="false">
      <c r="B336" s="30" t="n">
        <v>332</v>
      </c>
      <c r="C336" s="31" t="str">
        <f aca="false">IF(B336&lt;=TermYrs*12, -PMT(IntRate/12, TermYrs*12, LoanAmt), "")</f>
        <v/>
      </c>
      <c r="D336" s="31" t="str">
        <f aca="false">IF(B336&lt;=TermYrs*12, -IPMT(IntRate/12, B336, TermYrs*12, LoanAmt), "")</f>
        <v/>
      </c>
      <c r="E336" s="31" t="str">
        <f aca="false">IF(B336&lt;=TermYrs*12, -PPMT(IntRate/12, B336, TermYrs*12, LoanAmt), "")</f>
        <v/>
      </c>
      <c r="F336" s="31" t="str">
        <f aca="false">IF(B336&lt;=TermYrs*12, LoanAmt-SUMIFS($E$5:E336, $B$5:B336, "&lt;="&amp;B336), "")</f>
        <v/>
      </c>
    </row>
    <row r="337" customFormat="false" ht="15" hidden="false" customHeight="false" outlineLevel="0" collapsed="false">
      <c r="B337" s="30" t="n">
        <v>333</v>
      </c>
      <c r="C337" s="31" t="str">
        <f aca="false">IF(B337&lt;=TermYrs*12, -PMT(IntRate/12, TermYrs*12, LoanAmt), "")</f>
        <v/>
      </c>
      <c r="D337" s="31" t="str">
        <f aca="false">IF(B337&lt;=TermYrs*12, -IPMT(IntRate/12, B337, TermYrs*12, LoanAmt), "")</f>
        <v/>
      </c>
      <c r="E337" s="31" t="str">
        <f aca="false">IF(B337&lt;=TermYrs*12, -PPMT(IntRate/12, B337, TermYrs*12, LoanAmt), "")</f>
        <v/>
      </c>
      <c r="F337" s="31" t="str">
        <f aca="false">IF(B337&lt;=TermYrs*12, LoanAmt-SUMIFS($E$5:E337, $B$5:B337, "&lt;="&amp;B337), "")</f>
        <v/>
      </c>
    </row>
    <row r="338" customFormat="false" ht="15" hidden="false" customHeight="false" outlineLevel="0" collapsed="false">
      <c r="B338" s="30" t="n">
        <v>334</v>
      </c>
      <c r="C338" s="31" t="str">
        <f aca="false">IF(B338&lt;=TermYrs*12, -PMT(IntRate/12, TermYrs*12, LoanAmt), "")</f>
        <v/>
      </c>
      <c r="D338" s="31" t="str">
        <f aca="false">IF(B338&lt;=TermYrs*12, -IPMT(IntRate/12, B338, TermYrs*12, LoanAmt), "")</f>
        <v/>
      </c>
      <c r="E338" s="31" t="str">
        <f aca="false">IF(B338&lt;=TermYrs*12, -PPMT(IntRate/12, B338, TermYrs*12, LoanAmt), "")</f>
        <v/>
      </c>
      <c r="F338" s="31" t="str">
        <f aca="false">IF(B338&lt;=TermYrs*12, LoanAmt-SUMIFS($E$5:E338, $B$5:B338, "&lt;="&amp;B338), "")</f>
        <v/>
      </c>
    </row>
    <row r="339" customFormat="false" ht="15" hidden="false" customHeight="false" outlineLevel="0" collapsed="false">
      <c r="B339" s="30" t="n">
        <v>335</v>
      </c>
      <c r="C339" s="31" t="str">
        <f aca="false">IF(B339&lt;=TermYrs*12, -PMT(IntRate/12, TermYrs*12, LoanAmt), "")</f>
        <v/>
      </c>
      <c r="D339" s="31" t="str">
        <f aca="false">IF(B339&lt;=TermYrs*12, -IPMT(IntRate/12, B339, TermYrs*12, LoanAmt), "")</f>
        <v/>
      </c>
      <c r="E339" s="31" t="str">
        <f aca="false">IF(B339&lt;=TermYrs*12, -PPMT(IntRate/12, B339, TermYrs*12, LoanAmt), "")</f>
        <v/>
      </c>
      <c r="F339" s="31" t="str">
        <f aca="false">IF(B339&lt;=TermYrs*12, LoanAmt-SUMIFS($E$5:E339, $B$5:B339, "&lt;="&amp;B339), "")</f>
        <v/>
      </c>
    </row>
    <row r="340" customFormat="false" ht="15" hidden="false" customHeight="false" outlineLevel="0" collapsed="false">
      <c r="B340" s="30" t="n">
        <v>336</v>
      </c>
      <c r="C340" s="31" t="str">
        <f aca="false">IF(B340&lt;=TermYrs*12, -PMT(IntRate/12, TermYrs*12, LoanAmt), "")</f>
        <v/>
      </c>
      <c r="D340" s="31" t="str">
        <f aca="false">IF(B340&lt;=TermYrs*12, -IPMT(IntRate/12, B340, TermYrs*12, LoanAmt), "")</f>
        <v/>
      </c>
      <c r="E340" s="31" t="str">
        <f aca="false">IF(B340&lt;=TermYrs*12, -PPMT(IntRate/12, B340, TermYrs*12, LoanAmt), "")</f>
        <v/>
      </c>
      <c r="F340" s="31" t="str">
        <f aca="false">IF(B340&lt;=TermYrs*12, LoanAmt-SUMIFS($E$5:E340, $B$5:B340, "&lt;="&amp;B340), "")</f>
        <v/>
      </c>
    </row>
    <row r="341" customFormat="false" ht="15" hidden="false" customHeight="false" outlineLevel="0" collapsed="false">
      <c r="B341" s="30" t="n">
        <v>337</v>
      </c>
      <c r="C341" s="31" t="str">
        <f aca="false">IF(B341&lt;=TermYrs*12, -PMT(IntRate/12, TermYrs*12, LoanAmt), "")</f>
        <v/>
      </c>
      <c r="D341" s="31" t="str">
        <f aca="false">IF(B341&lt;=TermYrs*12, -IPMT(IntRate/12, B341, TermYrs*12, LoanAmt), "")</f>
        <v/>
      </c>
      <c r="E341" s="31" t="str">
        <f aca="false">IF(B341&lt;=TermYrs*12, -PPMT(IntRate/12, B341, TermYrs*12, LoanAmt), "")</f>
        <v/>
      </c>
      <c r="F341" s="31" t="str">
        <f aca="false">IF(B341&lt;=TermYrs*12, LoanAmt-SUMIFS($E$5:E341, $B$5:B341, "&lt;="&amp;B341), "")</f>
        <v/>
      </c>
    </row>
    <row r="342" customFormat="false" ht="15" hidden="false" customHeight="false" outlineLevel="0" collapsed="false">
      <c r="B342" s="30" t="n">
        <v>338</v>
      </c>
      <c r="C342" s="31" t="str">
        <f aca="false">IF(B342&lt;=TermYrs*12, -PMT(IntRate/12, TermYrs*12, LoanAmt), "")</f>
        <v/>
      </c>
      <c r="D342" s="31" t="str">
        <f aca="false">IF(B342&lt;=TermYrs*12, -IPMT(IntRate/12, B342, TermYrs*12, LoanAmt), "")</f>
        <v/>
      </c>
      <c r="E342" s="31" t="str">
        <f aca="false">IF(B342&lt;=TermYrs*12, -PPMT(IntRate/12, B342, TermYrs*12, LoanAmt), "")</f>
        <v/>
      </c>
      <c r="F342" s="31" t="str">
        <f aca="false">IF(B342&lt;=TermYrs*12, LoanAmt-SUMIFS($E$5:E342, $B$5:B342, "&lt;="&amp;B342), "")</f>
        <v/>
      </c>
    </row>
    <row r="343" customFormat="false" ht="15" hidden="false" customHeight="false" outlineLevel="0" collapsed="false">
      <c r="B343" s="30" t="n">
        <v>339</v>
      </c>
      <c r="C343" s="31" t="str">
        <f aca="false">IF(B343&lt;=TermYrs*12, -PMT(IntRate/12, TermYrs*12, LoanAmt), "")</f>
        <v/>
      </c>
      <c r="D343" s="31" t="str">
        <f aca="false">IF(B343&lt;=TermYrs*12, -IPMT(IntRate/12, B343, TermYrs*12, LoanAmt), "")</f>
        <v/>
      </c>
      <c r="E343" s="31" t="str">
        <f aca="false">IF(B343&lt;=TermYrs*12, -PPMT(IntRate/12, B343, TermYrs*12, LoanAmt), "")</f>
        <v/>
      </c>
      <c r="F343" s="31" t="str">
        <f aca="false">IF(B343&lt;=TermYrs*12, LoanAmt-SUMIFS($E$5:E343, $B$5:B343, "&lt;="&amp;B343), "")</f>
        <v/>
      </c>
    </row>
    <row r="344" customFormat="false" ht="15" hidden="false" customHeight="false" outlineLevel="0" collapsed="false">
      <c r="B344" s="30" t="n">
        <v>340</v>
      </c>
      <c r="C344" s="31" t="str">
        <f aca="false">IF(B344&lt;=TermYrs*12, -PMT(IntRate/12, TermYrs*12, LoanAmt), "")</f>
        <v/>
      </c>
      <c r="D344" s="31" t="str">
        <f aca="false">IF(B344&lt;=TermYrs*12, -IPMT(IntRate/12, B344, TermYrs*12, LoanAmt), "")</f>
        <v/>
      </c>
      <c r="E344" s="31" t="str">
        <f aca="false">IF(B344&lt;=TermYrs*12, -PPMT(IntRate/12, B344, TermYrs*12, LoanAmt), "")</f>
        <v/>
      </c>
      <c r="F344" s="31" t="str">
        <f aca="false">IF(B344&lt;=TermYrs*12, LoanAmt-SUMIFS($E$5:E344, $B$5:B344, "&lt;="&amp;B344), "")</f>
        <v/>
      </c>
    </row>
    <row r="345" customFormat="false" ht="15" hidden="false" customHeight="false" outlineLevel="0" collapsed="false">
      <c r="B345" s="30" t="n">
        <v>341</v>
      </c>
      <c r="C345" s="31" t="str">
        <f aca="false">IF(B345&lt;=TermYrs*12, -PMT(IntRate/12, TermYrs*12, LoanAmt), "")</f>
        <v/>
      </c>
      <c r="D345" s="31" t="str">
        <f aca="false">IF(B345&lt;=TermYrs*12, -IPMT(IntRate/12, B345, TermYrs*12, LoanAmt), "")</f>
        <v/>
      </c>
      <c r="E345" s="31" t="str">
        <f aca="false">IF(B345&lt;=TermYrs*12, -PPMT(IntRate/12, B345, TermYrs*12, LoanAmt), "")</f>
        <v/>
      </c>
      <c r="F345" s="31" t="str">
        <f aca="false">IF(B345&lt;=TermYrs*12, LoanAmt-SUMIFS($E$5:E345, $B$5:B345, "&lt;="&amp;B345), "")</f>
        <v/>
      </c>
    </row>
    <row r="346" customFormat="false" ht="15" hidden="false" customHeight="false" outlineLevel="0" collapsed="false">
      <c r="B346" s="30" t="n">
        <v>342</v>
      </c>
      <c r="C346" s="31" t="str">
        <f aca="false">IF(B346&lt;=TermYrs*12, -PMT(IntRate/12, TermYrs*12, LoanAmt), "")</f>
        <v/>
      </c>
      <c r="D346" s="31" t="str">
        <f aca="false">IF(B346&lt;=TermYrs*12, -IPMT(IntRate/12, B346, TermYrs*12, LoanAmt), "")</f>
        <v/>
      </c>
      <c r="E346" s="31" t="str">
        <f aca="false">IF(B346&lt;=TermYrs*12, -PPMT(IntRate/12, B346, TermYrs*12, LoanAmt), "")</f>
        <v/>
      </c>
      <c r="F346" s="31" t="str">
        <f aca="false">IF(B346&lt;=TermYrs*12, LoanAmt-SUMIFS($E$5:E346, $B$5:B346, "&lt;="&amp;B346), "")</f>
        <v/>
      </c>
    </row>
    <row r="347" customFormat="false" ht="15" hidden="false" customHeight="false" outlineLevel="0" collapsed="false">
      <c r="B347" s="30" t="n">
        <v>343</v>
      </c>
      <c r="C347" s="31" t="str">
        <f aca="false">IF(B347&lt;=TermYrs*12, -PMT(IntRate/12, TermYrs*12, LoanAmt), "")</f>
        <v/>
      </c>
      <c r="D347" s="31" t="str">
        <f aca="false">IF(B347&lt;=TermYrs*12, -IPMT(IntRate/12, B347, TermYrs*12, LoanAmt), "")</f>
        <v/>
      </c>
      <c r="E347" s="31" t="str">
        <f aca="false">IF(B347&lt;=TermYrs*12, -PPMT(IntRate/12, B347, TermYrs*12, LoanAmt), "")</f>
        <v/>
      </c>
      <c r="F347" s="31" t="str">
        <f aca="false">IF(B347&lt;=TermYrs*12, LoanAmt-SUMIFS($E$5:E347, $B$5:B347, "&lt;="&amp;B347), "")</f>
        <v/>
      </c>
    </row>
    <row r="348" customFormat="false" ht="15" hidden="false" customHeight="false" outlineLevel="0" collapsed="false">
      <c r="B348" s="30" t="n">
        <v>344</v>
      </c>
      <c r="C348" s="31" t="str">
        <f aca="false">IF(B348&lt;=TermYrs*12, -PMT(IntRate/12, TermYrs*12, LoanAmt), "")</f>
        <v/>
      </c>
      <c r="D348" s="31" t="str">
        <f aca="false">IF(B348&lt;=TermYrs*12, -IPMT(IntRate/12, B348, TermYrs*12, LoanAmt), "")</f>
        <v/>
      </c>
      <c r="E348" s="31" t="str">
        <f aca="false">IF(B348&lt;=TermYrs*12, -PPMT(IntRate/12, B348, TermYrs*12, LoanAmt), "")</f>
        <v/>
      </c>
      <c r="F348" s="31" t="str">
        <f aca="false">IF(B348&lt;=TermYrs*12, LoanAmt-SUMIFS($E$5:E348, $B$5:B348, "&lt;="&amp;B348), "")</f>
        <v/>
      </c>
    </row>
    <row r="349" customFormat="false" ht="15" hidden="false" customHeight="false" outlineLevel="0" collapsed="false">
      <c r="B349" s="30" t="n">
        <v>345</v>
      </c>
      <c r="C349" s="31" t="str">
        <f aca="false">IF(B349&lt;=TermYrs*12, -PMT(IntRate/12, TermYrs*12, LoanAmt), "")</f>
        <v/>
      </c>
      <c r="D349" s="31" t="str">
        <f aca="false">IF(B349&lt;=TermYrs*12, -IPMT(IntRate/12, B349, TermYrs*12, LoanAmt), "")</f>
        <v/>
      </c>
      <c r="E349" s="31" t="str">
        <f aca="false">IF(B349&lt;=TermYrs*12, -PPMT(IntRate/12, B349, TermYrs*12, LoanAmt), "")</f>
        <v/>
      </c>
      <c r="F349" s="31" t="str">
        <f aca="false">IF(B349&lt;=TermYrs*12, LoanAmt-SUMIFS($E$5:E349, $B$5:B349, "&lt;="&amp;B349), "")</f>
        <v/>
      </c>
    </row>
    <row r="350" customFormat="false" ht="15" hidden="false" customHeight="false" outlineLevel="0" collapsed="false">
      <c r="B350" s="30" t="n">
        <v>346</v>
      </c>
      <c r="C350" s="31" t="str">
        <f aca="false">IF(B350&lt;=TermYrs*12, -PMT(IntRate/12, TermYrs*12, LoanAmt), "")</f>
        <v/>
      </c>
      <c r="D350" s="31" t="str">
        <f aca="false">IF(B350&lt;=TermYrs*12, -IPMT(IntRate/12, B350, TermYrs*12, LoanAmt), "")</f>
        <v/>
      </c>
      <c r="E350" s="31" t="str">
        <f aca="false">IF(B350&lt;=TermYrs*12, -PPMT(IntRate/12, B350, TermYrs*12, LoanAmt), "")</f>
        <v/>
      </c>
      <c r="F350" s="31" t="str">
        <f aca="false">IF(B350&lt;=TermYrs*12, LoanAmt-SUMIFS($E$5:E350, $B$5:B350, "&lt;="&amp;B350), "")</f>
        <v/>
      </c>
    </row>
    <row r="351" customFormat="false" ht="15" hidden="false" customHeight="false" outlineLevel="0" collapsed="false">
      <c r="B351" s="30" t="n">
        <v>347</v>
      </c>
      <c r="C351" s="31" t="str">
        <f aca="false">IF(B351&lt;=TermYrs*12, -PMT(IntRate/12, TermYrs*12, LoanAmt), "")</f>
        <v/>
      </c>
      <c r="D351" s="31" t="str">
        <f aca="false">IF(B351&lt;=TermYrs*12, -IPMT(IntRate/12, B351, TermYrs*12, LoanAmt), "")</f>
        <v/>
      </c>
      <c r="E351" s="31" t="str">
        <f aca="false">IF(B351&lt;=TermYrs*12, -PPMT(IntRate/12, B351, TermYrs*12, LoanAmt), "")</f>
        <v/>
      </c>
      <c r="F351" s="31" t="str">
        <f aca="false">IF(B351&lt;=TermYrs*12, LoanAmt-SUMIFS($E$5:E351, $B$5:B351, "&lt;="&amp;B351), "")</f>
        <v/>
      </c>
    </row>
    <row r="352" customFormat="false" ht="15" hidden="false" customHeight="false" outlineLevel="0" collapsed="false">
      <c r="B352" s="30" t="n">
        <v>348</v>
      </c>
      <c r="C352" s="31" t="str">
        <f aca="false">IF(B352&lt;=TermYrs*12, -PMT(IntRate/12, TermYrs*12, LoanAmt), "")</f>
        <v/>
      </c>
      <c r="D352" s="31" t="str">
        <f aca="false">IF(B352&lt;=TermYrs*12, -IPMT(IntRate/12, B352, TermYrs*12, LoanAmt), "")</f>
        <v/>
      </c>
      <c r="E352" s="31" t="str">
        <f aca="false">IF(B352&lt;=TermYrs*12, -PPMT(IntRate/12, B352, TermYrs*12, LoanAmt), "")</f>
        <v/>
      </c>
      <c r="F352" s="31" t="str">
        <f aca="false">IF(B352&lt;=TermYrs*12, LoanAmt-SUMIFS($E$5:E352, $B$5:B352, "&lt;="&amp;B352), "")</f>
        <v/>
      </c>
    </row>
    <row r="353" customFormat="false" ht="15" hidden="false" customHeight="false" outlineLevel="0" collapsed="false">
      <c r="B353" s="30" t="n">
        <v>349</v>
      </c>
      <c r="C353" s="31" t="str">
        <f aca="false">IF(B353&lt;=TermYrs*12, -PMT(IntRate/12, TermYrs*12, LoanAmt), "")</f>
        <v/>
      </c>
      <c r="D353" s="31" t="str">
        <f aca="false">IF(B353&lt;=TermYrs*12, -IPMT(IntRate/12, B353, TermYrs*12, LoanAmt), "")</f>
        <v/>
      </c>
      <c r="E353" s="31" t="str">
        <f aca="false">IF(B353&lt;=TermYrs*12, -PPMT(IntRate/12, B353, TermYrs*12, LoanAmt), "")</f>
        <v/>
      </c>
      <c r="F353" s="31" t="str">
        <f aca="false">IF(B353&lt;=TermYrs*12, LoanAmt-SUMIFS($E$5:E353, $B$5:B353, "&lt;="&amp;B353), "")</f>
        <v/>
      </c>
    </row>
    <row r="354" customFormat="false" ht="15" hidden="false" customHeight="false" outlineLevel="0" collapsed="false">
      <c r="B354" s="30" t="n">
        <v>350</v>
      </c>
      <c r="C354" s="31" t="str">
        <f aca="false">IF(B354&lt;=TermYrs*12, -PMT(IntRate/12, TermYrs*12, LoanAmt), "")</f>
        <v/>
      </c>
      <c r="D354" s="31" t="str">
        <f aca="false">IF(B354&lt;=TermYrs*12, -IPMT(IntRate/12, B354, TermYrs*12, LoanAmt), "")</f>
        <v/>
      </c>
      <c r="E354" s="31" t="str">
        <f aca="false">IF(B354&lt;=TermYrs*12, -PPMT(IntRate/12, B354, TermYrs*12, LoanAmt), "")</f>
        <v/>
      </c>
      <c r="F354" s="31" t="str">
        <f aca="false">IF(B354&lt;=TermYrs*12, LoanAmt-SUMIFS($E$5:E354, $B$5:B354, "&lt;="&amp;B354), "")</f>
        <v/>
      </c>
    </row>
    <row r="355" customFormat="false" ht="15" hidden="false" customHeight="false" outlineLevel="0" collapsed="false">
      <c r="B355" s="30" t="n">
        <v>351</v>
      </c>
      <c r="C355" s="31" t="str">
        <f aca="false">IF(B355&lt;=TermYrs*12, -PMT(IntRate/12, TermYrs*12, LoanAmt), "")</f>
        <v/>
      </c>
      <c r="D355" s="31" t="str">
        <f aca="false">IF(B355&lt;=TermYrs*12, -IPMT(IntRate/12, B355, TermYrs*12, LoanAmt), "")</f>
        <v/>
      </c>
      <c r="E355" s="31" t="str">
        <f aca="false">IF(B355&lt;=TermYrs*12, -PPMT(IntRate/12, B355, TermYrs*12, LoanAmt), "")</f>
        <v/>
      </c>
      <c r="F355" s="31" t="str">
        <f aca="false">IF(B355&lt;=TermYrs*12, LoanAmt-SUMIFS($E$5:E355, $B$5:B355, "&lt;="&amp;B355), "")</f>
        <v/>
      </c>
    </row>
    <row r="356" customFormat="false" ht="15" hidden="false" customHeight="false" outlineLevel="0" collapsed="false">
      <c r="B356" s="30" t="n">
        <v>352</v>
      </c>
      <c r="C356" s="31" t="str">
        <f aca="false">IF(B356&lt;=TermYrs*12, -PMT(IntRate/12, TermYrs*12, LoanAmt), "")</f>
        <v/>
      </c>
      <c r="D356" s="31" t="str">
        <f aca="false">IF(B356&lt;=TermYrs*12, -IPMT(IntRate/12, B356, TermYrs*12, LoanAmt), "")</f>
        <v/>
      </c>
      <c r="E356" s="31" t="str">
        <f aca="false">IF(B356&lt;=TermYrs*12, -PPMT(IntRate/12, B356, TermYrs*12, LoanAmt), "")</f>
        <v/>
      </c>
      <c r="F356" s="31" t="str">
        <f aca="false">IF(B356&lt;=TermYrs*12, LoanAmt-SUMIFS($E$5:E356, $B$5:B356, "&lt;="&amp;B356), "")</f>
        <v/>
      </c>
    </row>
    <row r="357" customFormat="false" ht="15" hidden="false" customHeight="false" outlineLevel="0" collapsed="false">
      <c r="B357" s="30" t="n">
        <v>353</v>
      </c>
      <c r="C357" s="31" t="str">
        <f aca="false">IF(B357&lt;=TermYrs*12, -PMT(IntRate/12, TermYrs*12, LoanAmt), "")</f>
        <v/>
      </c>
      <c r="D357" s="31" t="str">
        <f aca="false">IF(B357&lt;=TermYrs*12, -IPMT(IntRate/12, B357, TermYrs*12, LoanAmt), "")</f>
        <v/>
      </c>
      <c r="E357" s="31" t="str">
        <f aca="false">IF(B357&lt;=TermYrs*12, -PPMT(IntRate/12, B357, TermYrs*12, LoanAmt), "")</f>
        <v/>
      </c>
      <c r="F357" s="31" t="str">
        <f aca="false">IF(B357&lt;=TermYrs*12, LoanAmt-SUMIFS($E$5:E357, $B$5:B357, "&lt;="&amp;B357), "")</f>
        <v/>
      </c>
    </row>
    <row r="358" customFormat="false" ht="15" hidden="false" customHeight="false" outlineLevel="0" collapsed="false">
      <c r="B358" s="30" t="n">
        <v>354</v>
      </c>
      <c r="C358" s="31" t="str">
        <f aca="false">IF(B358&lt;=TermYrs*12, -PMT(IntRate/12, TermYrs*12, LoanAmt), "")</f>
        <v/>
      </c>
      <c r="D358" s="31" t="str">
        <f aca="false">IF(B358&lt;=TermYrs*12, -IPMT(IntRate/12, B358, TermYrs*12, LoanAmt), "")</f>
        <v/>
      </c>
      <c r="E358" s="31" t="str">
        <f aca="false">IF(B358&lt;=TermYrs*12, -PPMT(IntRate/12, B358, TermYrs*12, LoanAmt), "")</f>
        <v/>
      </c>
      <c r="F358" s="31" t="str">
        <f aca="false">IF(B358&lt;=TermYrs*12, LoanAmt-SUMIFS($E$5:E358, $B$5:B358, "&lt;="&amp;B358), "")</f>
        <v/>
      </c>
    </row>
    <row r="359" customFormat="false" ht="15" hidden="false" customHeight="false" outlineLevel="0" collapsed="false">
      <c r="B359" s="30" t="n">
        <v>355</v>
      </c>
      <c r="C359" s="31" t="str">
        <f aca="false">IF(B359&lt;=TermYrs*12, -PMT(IntRate/12, TermYrs*12, LoanAmt), "")</f>
        <v/>
      </c>
      <c r="D359" s="31" t="str">
        <f aca="false">IF(B359&lt;=TermYrs*12, -IPMT(IntRate/12, B359, TermYrs*12, LoanAmt), "")</f>
        <v/>
      </c>
      <c r="E359" s="31" t="str">
        <f aca="false">IF(B359&lt;=TermYrs*12, -PPMT(IntRate/12, B359, TermYrs*12, LoanAmt), "")</f>
        <v/>
      </c>
      <c r="F359" s="31" t="str">
        <f aca="false">IF(B359&lt;=TermYrs*12, LoanAmt-SUMIFS($E$5:E359, $B$5:B359, "&lt;="&amp;B359), "")</f>
        <v/>
      </c>
    </row>
    <row r="360" customFormat="false" ht="15" hidden="false" customHeight="false" outlineLevel="0" collapsed="false">
      <c r="B360" s="30" t="n">
        <v>356</v>
      </c>
      <c r="C360" s="31" t="str">
        <f aca="false">IF(B360&lt;=TermYrs*12, -PMT(IntRate/12, TermYrs*12, LoanAmt), "")</f>
        <v/>
      </c>
      <c r="D360" s="31" t="str">
        <f aca="false">IF(B360&lt;=TermYrs*12, -IPMT(IntRate/12, B360, TermYrs*12, LoanAmt), "")</f>
        <v/>
      </c>
      <c r="E360" s="31" t="str">
        <f aca="false">IF(B360&lt;=TermYrs*12, -PPMT(IntRate/12, B360, TermYrs*12, LoanAmt), "")</f>
        <v/>
      </c>
      <c r="F360" s="31" t="str">
        <f aca="false">IF(B360&lt;=TermYrs*12, LoanAmt-SUMIFS($E$5:E360, $B$5:B360, "&lt;="&amp;B360), "")</f>
        <v/>
      </c>
    </row>
    <row r="361" customFormat="false" ht="15" hidden="false" customHeight="false" outlineLevel="0" collapsed="false">
      <c r="B361" s="30" t="n">
        <v>357</v>
      </c>
      <c r="C361" s="31" t="str">
        <f aca="false">IF(B361&lt;=TermYrs*12, -PMT(IntRate/12, TermYrs*12, LoanAmt), "")</f>
        <v/>
      </c>
      <c r="D361" s="31" t="str">
        <f aca="false">IF(B361&lt;=TermYrs*12, -IPMT(IntRate/12, B361, TermYrs*12, LoanAmt), "")</f>
        <v/>
      </c>
      <c r="E361" s="31" t="str">
        <f aca="false">IF(B361&lt;=TermYrs*12, -PPMT(IntRate/12, B361, TermYrs*12, LoanAmt), "")</f>
        <v/>
      </c>
      <c r="F361" s="31" t="str">
        <f aca="false">IF(B361&lt;=TermYrs*12, LoanAmt-SUMIFS($E$5:E361, $B$5:B361, "&lt;="&amp;B361), "")</f>
        <v/>
      </c>
    </row>
    <row r="362" customFormat="false" ht="15" hidden="false" customHeight="false" outlineLevel="0" collapsed="false">
      <c r="B362" s="30" t="n">
        <v>358</v>
      </c>
      <c r="C362" s="31" t="str">
        <f aca="false">IF(B362&lt;=TermYrs*12, -PMT(IntRate/12, TermYrs*12, LoanAmt), "")</f>
        <v/>
      </c>
      <c r="D362" s="31" t="str">
        <f aca="false">IF(B362&lt;=TermYrs*12, -IPMT(IntRate/12, B362, TermYrs*12, LoanAmt), "")</f>
        <v/>
      </c>
      <c r="E362" s="31" t="str">
        <f aca="false">IF(B362&lt;=TermYrs*12, -PPMT(IntRate/12, B362, TermYrs*12, LoanAmt), "")</f>
        <v/>
      </c>
      <c r="F362" s="31" t="str">
        <f aca="false">IF(B362&lt;=TermYrs*12, LoanAmt-SUMIFS($E$5:E362, $B$5:B362, "&lt;="&amp;B362), "")</f>
        <v/>
      </c>
    </row>
    <row r="363" customFormat="false" ht="15" hidden="false" customHeight="false" outlineLevel="0" collapsed="false">
      <c r="B363" s="30" t="n">
        <v>359</v>
      </c>
      <c r="C363" s="31" t="str">
        <f aca="false">IF(B363&lt;=TermYrs*12, -PMT(IntRate/12, TermYrs*12, LoanAmt), "")</f>
        <v/>
      </c>
      <c r="D363" s="31" t="str">
        <f aca="false">IF(B363&lt;=TermYrs*12, -IPMT(IntRate/12, B363, TermYrs*12, LoanAmt), "")</f>
        <v/>
      </c>
      <c r="E363" s="31" t="str">
        <f aca="false">IF(B363&lt;=TermYrs*12, -PPMT(IntRate/12, B363, TermYrs*12, LoanAmt), "")</f>
        <v/>
      </c>
      <c r="F363" s="31" t="str">
        <f aca="false">IF(B363&lt;=TermYrs*12, LoanAmt-SUMIFS($E$5:E363, $B$5:B363, "&lt;="&amp;B363), "")</f>
        <v/>
      </c>
    </row>
    <row r="364" customFormat="false" ht="15" hidden="false" customHeight="false" outlineLevel="0" collapsed="false">
      <c r="B364" s="30" t="n">
        <v>360</v>
      </c>
      <c r="C364" s="31" t="str">
        <f aca="false">IF(B364&lt;=TermYrs*12, -PMT(IntRate/12, TermYrs*12, LoanAmt), "")</f>
        <v/>
      </c>
      <c r="D364" s="31" t="str">
        <f aca="false">IF(B364&lt;=TermYrs*12, -IPMT(IntRate/12, B364, TermYrs*12, LoanAmt), "")</f>
        <v/>
      </c>
      <c r="E364" s="31" t="str">
        <f aca="false">IF(B364&lt;=TermYrs*12, -PPMT(IntRate/12, B364, TermYrs*12, LoanAmt), "")</f>
        <v/>
      </c>
      <c r="F364" s="31" t="str">
        <f aca="false">IF(B364&lt;=TermYrs*12, LoanAmt-SUMIFS($E$5:E364, $B$5:B364, "&lt;="&amp;B364), "")</f>
        <v/>
      </c>
    </row>
  </sheetData>
  <mergeCells count="1">
    <mergeCell ref="B2:F2"/>
  </mergeCells>
  <conditionalFormatting sqref="F5:F364">
    <cfRule type="colorScale" priority="2">
      <colorScale>
        <cfvo type="min" val="0"/>
        <cfvo type="percentile" val="50"/>
        <cfvo type="max" val="0"/>
        <color rgb="FF2ECC71"/>
        <color rgb="FFF4D03F"/>
        <color rgb="FFE74C3C"/>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1" min="1" style="1" width="16"/>
  </cols>
  <sheetData>
    <row r="2" customFormat="false" ht="26.8" hidden="false" customHeight="false" outlineLevel="0" collapsed="false">
      <c r="B2" s="32" t="s">
        <v>72</v>
      </c>
      <c r="C2" s="32"/>
      <c r="D2" s="32"/>
      <c r="E2" s="32"/>
      <c r="F2" s="32"/>
      <c r="G2" s="32"/>
      <c r="H2" s="32"/>
      <c r="I2" s="32"/>
    </row>
    <row r="3" customFormat="false" ht="15" hidden="false" customHeight="false" outlineLevel="0" collapsed="false">
      <c r="B3" s="33" t="s">
        <v>73</v>
      </c>
      <c r="C3" s="33"/>
      <c r="D3" s="33"/>
      <c r="E3" s="33"/>
      <c r="F3" s="33"/>
      <c r="G3" s="33"/>
      <c r="H3" s="33"/>
      <c r="I3" s="33"/>
    </row>
    <row r="5" customFormat="false" ht="15" hidden="false" customHeight="false" outlineLevel="0" collapsed="false">
      <c r="B5" s="34" t="s">
        <v>74</v>
      </c>
      <c r="C5" s="34"/>
      <c r="D5" s="35" t="s">
        <v>75</v>
      </c>
      <c r="E5" s="35"/>
      <c r="F5" s="36" t="s">
        <v>76</v>
      </c>
      <c r="G5" s="36"/>
      <c r="H5" s="37" t="s">
        <v>77</v>
      </c>
      <c r="I5" s="37"/>
    </row>
    <row r="6" customFormat="false" ht="15" hidden="false" customHeight="false" outlineLevel="0" collapsed="false">
      <c r="B6" s="38" t="n">
        <f aca="false">Inputs!C15</f>
        <v>2308.84282410265</v>
      </c>
      <c r="C6" s="38"/>
      <c r="D6" s="39" t="n">
        <f aca="false">Inputs!C17</f>
        <v>342652.847230795</v>
      </c>
      <c r="E6" s="39"/>
      <c r="F6" s="40" t="n">
        <f aca="false">Inputs!C18</f>
        <v>0.823529411764706</v>
      </c>
      <c r="G6" s="40"/>
      <c r="H6" s="40" t="n">
        <f aca="false">Inputs!C19</f>
        <v>0.399011725149809</v>
      </c>
      <c r="I6" s="40"/>
    </row>
    <row r="7" customFormat="false" ht="15" hidden="false" customHeight="false" outlineLevel="0" collapsed="false">
      <c r="B7" s="38"/>
      <c r="C7" s="38"/>
      <c r="D7" s="39"/>
      <c r="E7" s="39"/>
      <c r="F7" s="40"/>
      <c r="G7" s="40"/>
      <c r="H7" s="40"/>
      <c r="I7" s="40"/>
    </row>
    <row r="10" customFormat="false" ht="17.35" hidden="false" customHeight="false" outlineLevel="0" collapsed="false">
      <c r="B10" s="14" t="s">
        <v>78</v>
      </c>
      <c r="C10" s="14"/>
      <c r="D10" s="14"/>
      <c r="E10" s="14"/>
      <c r="F10" s="14"/>
      <c r="G10" s="14"/>
      <c r="H10" s="14"/>
      <c r="I10" s="14"/>
    </row>
    <row r="11" customFormat="false" ht="15" hidden="false" customHeight="false" outlineLevel="0" collapsed="false">
      <c r="B11" s="9" t="s">
        <v>35</v>
      </c>
      <c r="C11" s="41" t="n">
        <f aca="false">Score</f>
        <v>720</v>
      </c>
      <c r="D11" s="41"/>
      <c r="E11" s="41"/>
    </row>
    <row r="12" customFormat="false" ht="15" hidden="false" customHeight="false" outlineLevel="0" collapsed="false">
      <c r="B12" s="9" t="s">
        <v>57</v>
      </c>
      <c r="C12" s="42" t="str">
        <f aca="false">Inputs!C22</f>
        <v>Super Prime</v>
      </c>
      <c r="D12" s="42"/>
      <c r="E12" s="42"/>
    </row>
    <row r="13" customFormat="false" ht="15" hidden="false" customHeight="false" outlineLevel="0" collapsed="false">
      <c r="B13" s="9" t="s">
        <v>79</v>
      </c>
      <c r="C13" s="43" t="n">
        <f aca="false">Inputs!C20</f>
        <v>0.0625</v>
      </c>
      <c r="D13" s="43"/>
      <c r="E13" s="43"/>
    </row>
    <row r="14" customFormat="false" ht="15" hidden="false" customHeight="false" outlineLevel="0" collapsed="false">
      <c r="B14" s="9" t="s">
        <v>80</v>
      </c>
      <c r="C14" s="42" t="str">
        <f aca="false">IF(AND(Score&gt;=680,Inputs!C19&lt;=0.4,Inputs!C18&lt;=0.8),"APPROVE",IF(AND(Score&gt;=640,Inputs!C19&lt;=0.45),"REVIEW","DECLINE"))</f>
        <v>REVIEW</v>
      </c>
      <c r="D14" s="42"/>
      <c r="E14" s="42"/>
    </row>
    <row r="15" customFormat="false" ht="15" hidden="false" customHeight="false" outlineLevel="0" collapsed="false">
      <c r="B15" s="9" t="s">
        <v>81</v>
      </c>
      <c r="C15" s="42" t="str">
        <f aca="false">IF(Inputs!C23="APPROVE","Proceed to docs &amp; disbursement",IF(Inputs!C23="REVIEW","Escalate to credit committee","Decline or restructure"))</f>
        <v>Escalate to credit committee</v>
      </c>
      <c r="D15" s="42"/>
      <c r="E15" s="42"/>
    </row>
  </sheetData>
  <mergeCells count="16">
    <mergeCell ref="B2:I2"/>
    <mergeCell ref="B3:I3"/>
    <mergeCell ref="B5:C5"/>
    <mergeCell ref="D5:E5"/>
    <mergeCell ref="F5:G5"/>
    <mergeCell ref="H5:I5"/>
    <mergeCell ref="B6:C7"/>
    <mergeCell ref="D6:E7"/>
    <mergeCell ref="F6:G7"/>
    <mergeCell ref="H6:I7"/>
    <mergeCell ref="B10:I10"/>
    <mergeCell ref="C11:E11"/>
    <mergeCell ref="C12:E12"/>
    <mergeCell ref="C13:E13"/>
    <mergeCell ref="C14:E14"/>
    <mergeCell ref="C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20"/>
  </cols>
  <sheetData>
    <row r="2" customFormat="false" ht="19.7" hidden="false" customHeight="false" outlineLevel="0" collapsed="false">
      <c r="B2" s="44" t="s">
        <v>82</v>
      </c>
    </row>
    <row r="3" customFormat="false" ht="36" hidden="false" customHeight="true" outlineLevel="0" collapsed="false">
      <c r="B3" s="45" t="s">
        <v>83</v>
      </c>
    </row>
    <row r="5" customFormat="false" ht="900" hidden="false" customHeight="true" outlineLevel="0" collapsed="false">
      <c r="B5" s="46"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2026-04-25T02:19:36Z</dcterms:created>
  <dc:creator>openpyxl</dc:creator>
  <dc:description/>
  <dc:language>en-US</dc:language>
  <cp:lastModifiedBy/>
  <dcterms:modified xsi:type="dcterms:W3CDTF">2026-04-25T02:19:36Z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