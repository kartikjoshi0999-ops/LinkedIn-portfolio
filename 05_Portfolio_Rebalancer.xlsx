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Targets" sheetId="2" state="visible" r:id="rId4"/>
    <sheet name="Inputs" sheetId="3" state="visible" r:id="rId5"/>
    <sheet name="Analysis" sheetId="4" state="visible" r:id="rId6"/>
    <sheet name="VBA_Code" sheetId="5" state="visible" r:id="rId7"/>
  </sheets>
  <definedNames>
    <definedName function="false" hidden="false" name="PortValue" vbProcedure="false">Inputs!$C$4</definedName>
    <definedName function="false" hidden="false" name="ReBalThresh" vbProcedure="false">Inputs!$C$6</definedName>
    <definedName function="false" hidden="false" name="RiskProf" vbProcedure="false">Inputs!$C$5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<sst xmlns="http://schemas.openxmlformats.org/spreadsheetml/2006/main" count="47" uniqueCount="38">
  <si>
    <t xml:space="preserve">PORTFOLIO REBALANCER</t>
  </si>
  <si>
    <t xml:space="preserve">Risk-Based Allocation · Target Glide Path · Rebalance Trade List</t>
  </si>
  <si>
    <t xml:space="preserve">Risk-profile-driven portfolio rebalancer for a 6-asset strategic portfolio (Canadian Equity, US Equity, International Equity, Canadian Fixed Income, Global Fixed Income, Cash). The target allocation is selected via a dropdown (Conservative / Balanced / Growth / Aggressive) and retrieved via HLOOKUP. Current holdings drift is compared to target, expected portfolio return and volatility are computed via SUMPRODUCT, and a VBA macro generates a ready-to-execute trade list (Buy / Sell / Hold with dollar amounts) to bring the portfolio back to target. Maps directly to the CIFC, FMVA®, and CBCA® toolkit.</t>
  </si>
  <si>
    <t xml:space="preserve">TARGET ALLOCATION MATRIX (HLOOKUP source)</t>
  </si>
  <si>
    <t xml:space="preserve">Asset Class</t>
  </si>
  <si>
    <t xml:space="preserve">Conservative</t>
  </si>
  <si>
    <t xml:space="preserve">Balanced</t>
  </si>
  <si>
    <t xml:space="preserve">Growth</t>
  </si>
  <si>
    <t xml:space="preserve">Aggressive</t>
  </si>
  <si>
    <t xml:space="preserve">Expected Return</t>
  </si>
  <si>
    <t xml:space="preserve">Volatility</t>
  </si>
  <si>
    <t xml:space="preserve">Canadian Equity</t>
  </si>
  <si>
    <t xml:space="preserve">US Equity</t>
  </si>
  <si>
    <t xml:space="preserve">International Equity</t>
  </si>
  <si>
    <t xml:space="preserve">Canadian Fixed Income</t>
  </si>
  <si>
    <t xml:space="preserve">Global Fixed Income</t>
  </si>
  <si>
    <t xml:space="preserve">Cash</t>
  </si>
  <si>
    <t xml:space="preserve">Total</t>
  </si>
  <si>
    <t xml:space="preserve">PORTFOLIO INPUTS</t>
  </si>
  <si>
    <t xml:space="preserve">Portfolio Value ($)</t>
  </si>
  <si>
    <t xml:space="preserve">Risk Profile</t>
  </si>
  <si>
    <t xml:space="preserve">Rebalance Threshold</t>
  </si>
  <si>
    <t xml:space="preserve">PORTFOLIO ANALYSIS &amp; DRIFT</t>
  </si>
  <si>
    <t xml:space="preserve">Current $</t>
  </si>
  <si>
    <t xml:space="preserve">Current %</t>
  </si>
  <si>
    <t xml:space="preserve">Target %</t>
  </si>
  <si>
    <t xml:space="preserve">Target $</t>
  </si>
  <si>
    <t xml:space="preserve">Drift %</t>
  </si>
  <si>
    <t xml:space="preserve">Action</t>
  </si>
  <si>
    <t xml:space="preserve">PORTFOLIO STATISTICS (SUMPRODUCT)</t>
  </si>
  <si>
    <t xml:space="preserve">Expected Return (current)</t>
  </si>
  <si>
    <t xml:space="preserve">Expected Return (target)</t>
  </si>
  <si>
    <t xml:space="preserve">Weighted Volatility (current)</t>
  </si>
  <si>
    <t xml:space="preserve">Weighted Volatility (target)</t>
  </si>
  <si>
    <t xml:space="preserve">Return / Vol (Sharpe-like)</t>
  </si>
  <si>
    <t xml:space="preserve">VBA MACROS — Trade List Generator</t>
  </si>
  <si>
    <t xml:space="preserve">Import RebalanceMacros.bas via Alt+F11 → File → Import File.</t>
  </si>
  <si>
    <t xml:space="preserve">Option Explicit
' ============================================================
' RebalanceMacros.bas  —  Kartik Joshi
' Portfolio rebalancer — generate executable trade list
' ============================================================
Public Sub GenerateTradeList()
    Dim an As Worksheet, tl As Worksheet, i As Long, outRow As Long
    Dim action As String, tradeAmt As Double, totalBuys As Double, totalSells As Double
    Set an = ThisWorkbook.Worksheets("Analysis")
    On Error Resume Next
    Application.DisplayAlerts = False
    ThisWorkbook.Worksheets("TradeList").Delete
    Application.DisplayAlerts = True
    On Error GoTo 0
    Set tl = ThisWorkbook.Worksheets.Add(After:= _
        ThisWorkbook.Worksheets(ThisWorkbook.Worksheets.Count))
    tl.Name = "TradeList"
    tl.Range("B2").Value = "REBALANCING TRADE LIST — " &amp; Format(Now, "yyyy-mm-dd hh:nn")
    tl.Range("B2").Font.Bold = True
    tl.Range("B2").Font.Size = 14
    Dim headers As Variant
    headers = Array("Asset Class", "Action", "Current $", "Target $", "Trade $", "Drift %")
    Dim j As Integer
    For j = LBound(headers) To UBound(headers)
        tl.Cells(4, 2 + j).Value = headers(j)
        tl.Cells(4, 2 + j).Font.Bold = True
        tl.Cells(4, 2 + j).Interior.Color = RGB(27, 42, 73)
        tl.Cells(4, 2 + j).Font.Color = RGB(255, 255, 255)
    Next j
    outRow = 5
    For i = 5 To 10
        action = CStr(an.Cells(i, 8).Value)
        tradeAmt = an.Cells(i, 6).Value - an.Cells(i, 3).Value  ' target - current
        tl.Cells(outRow, 2).Value = an.Cells(i, 2).Value
        tl.Cells(outRow, 3).Value = action
        tl.Cells(outRow, 4).Value = an.Cells(i, 3).Value
        tl.Cells(outRow, 5).Value = an.Cells(i, 6).Value
        tl.Cells(outRow, 6).Value = tradeAmt
        tl.Cells(outRow, 7).Value = an.Cells(i, 7).Value
        If action = "BUY" Then
            tl.Cells(outRow, 3).Interior.Color = RGB(213, 245, 227)
            totalBuys = totalBuys + tradeAmt
        ElseIf action = "SELL" Then
            tl.Cells(outRow, 3).Interior.Color = RGB(250, 219, 216)
            totalSells = totalSells + Abs(tradeAmt)
        Else
            tl.Cells(outRow, 3).Interior.Color = RGB(234, 242, 248)
        End If
        outRow = outRow + 1
    Next i
    ' Summary
    tl.Cells(outRow + 1, 2).Value = "Summary"
    tl.Cells(outRow + 1, 2).Font.Bold = True
    tl.Cells(outRow + 2, 2).Value = "Total Buys"
    tl.Cells(outRow + 2, 3).Value = totalBuys
    tl.Cells(outRow + 3, 2).Value = "Total Sells"
    tl.Cells(outRow + 3, 3).Value = totalSells
    tl.Cells(outRow + 4, 2).Value = "Net (should be ~0)"
    tl.Cells(outRow + 4, 3).Value = totalBuys - totalSells
    tl.Range("D5:F" &amp; outRow + 4).NumberFormat = "$#,##0;($#,##0);-"
    tl.Range("G5:G" &amp; outRow - 1).NumberFormat = "0.0%;-0.0%"
    tl.Columns("B:G").AutoFit
    MsgBox "Trade list generated." &amp; vbCrLf &amp; _
        "Buys:  " &amp; Format(totalBuys, "$#,##0") &amp; vbCrLf &amp; _
        "Sells: " &amp; Format(totalSells, "$#,##0"), vbInformation
End Sub
Public Sub ApplyRebalance()
    Dim resp As VbMsgBoxResult, an As Worksheet, i As Long
    resp = MsgBox("This will overwrite Current $ with Target $ values. Continue?", _
                  vbYesNo + vbQuestion, "Apply Rebalance")
    If resp &lt;&gt; vbYes Then Exit Sub
    Set an = ThisWorkbook.Worksheets("Analysis")
    For i = 5 To 10
        an.Cells(i, 3).Value = an.Cells(i, 6).Value
    Next i
    Application.Calculate
    MsgBox "Portfolio rebalanced to target allocation.", vbInformation
End Sub
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</si>
</sst>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%"/>
    <numFmt numFmtId="166" formatCode="0.00%"/>
    <numFmt numFmtId="167" formatCode="\$#,##0"/>
    <numFmt numFmtId="168" formatCode="0.0%;\-0.0%"/>
    <numFmt numFmtId="169" formatCode="0.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1B2A49"/>
      <name val="Calibri"/>
      <family val="0"/>
      <charset val="1"/>
    </font>
    <font>
      <i val="true"/>
      <sz val="11"/>
      <color rgb="FF2E86C1"/>
      <name val="Calibri"/>
      <family val="0"/>
      <charset val="1"/>
    </font>
    <font>
      <sz val="11"/>
      <color rgb="FF2C3E50"/>
      <name val="Calibri"/>
      <family val="0"/>
      <charset val="1"/>
    </font>
    <font>
      <b val="true"/>
      <sz val="14"/>
      <color rgb="FF1B2A4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1B2A49"/>
      <name val="Calibri"/>
      <family val="0"/>
      <charset val="1"/>
    </font>
    <font>
      <sz val="11"/>
      <color rgb="FF000000"/>
      <name val="Calibri"/>
      <family val="0"/>
      <charset val="1"/>
    </font>
    <font>
      <b val="true"/>
      <sz val="11"/>
      <color rgb="FF0000FF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6"/>
      <color rgb="FF1B2A49"/>
      <name val="Calibri"/>
      <family val="0"/>
      <charset val="1"/>
    </font>
    <font>
      <b val="true"/>
      <sz val="13"/>
      <color rgb="FF1B2A49"/>
      <name val="Calibri"/>
      <family val="0"/>
      <charset val="1"/>
    </font>
    <font>
      <sz val="10"/>
      <color rgb="FF1B2A49"/>
      <name val="Consolas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B2A49"/>
        <bgColor rgb="FF2C3E50"/>
      </patternFill>
    </fill>
    <fill>
      <patternFill patternType="solid">
        <fgColor rgb="FFEAF2F8"/>
        <bgColor rgb="FFF4F6F7"/>
      </patternFill>
    </fill>
    <fill>
      <patternFill patternType="solid">
        <fgColor rgb="FFFFFFFF"/>
        <bgColor rgb="FFF4F6F7"/>
      </patternFill>
    </fill>
    <fill>
      <patternFill patternType="solid">
        <fgColor rgb="FFF4F6F7"/>
        <bgColor rgb="FFEAF2F8"/>
      </patternFill>
    </fill>
    <fill>
      <patternFill patternType="solid">
        <fgColor rgb="FFFCF3CF"/>
        <bgColor rgb="FFF4F6F7"/>
      </patternFill>
    </fill>
    <fill>
      <patternFill patternType="solid">
        <fgColor rgb="FFD5F5E3"/>
        <bgColor rgb="FFEAF2F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0" fillId="4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11" fillId="5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12" fillId="5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" fillId="6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1" fillId="6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10" fillId="3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12" fillId="3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12" fillId="5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12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" fillId="7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12" fillId="5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9" fontId="12" fillId="7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808080"/>
      <rgbColor rgb="FF9999FF"/>
      <rgbColor rgb="FF993366"/>
      <rgbColor rgb="FFFCF3CF"/>
      <rgbColor rgb="FFEAF2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6F7"/>
      <rgbColor rgb="FFD5F5E3"/>
      <rgbColor rgb="FFFFFF99"/>
      <rgbColor rgb="FF99CCFF"/>
      <rgbColor rgb="FFFF99CC"/>
      <rgbColor rgb="FFCC99FF"/>
      <rgbColor rgb="FFFFCC99"/>
      <rgbColor rgb="FF2E86C1"/>
      <rgbColor rgb="FF33CCCC"/>
      <rgbColor rgb="FF99CC00"/>
      <rgbColor rgb="FFFFCC00"/>
      <rgbColor rgb="FFFF9900"/>
      <rgbColor rgb="FFFF6600"/>
      <rgbColor rgb="FF666699"/>
      <rgbColor rgb="FF969696"/>
      <rgbColor rgb="FF1B2A49"/>
      <rgbColor rgb="FF339966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9" min="2" style="1" width="16"/>
  </cols>
  <sheetData>
    <row r="2" customFormat="false" ht="26.8" hidden="false" customHeight="false" outlineLevel="0" collapsed="false">
      <c r="B2" s="2" t="s">
        <v>0</v>
      </c>
    </row>
    <row r="3" customFormat="false" ht="15" hidden="false" customHeight="false" outlineLevel="0" collapsed="false">
      <c r="B3" s="3" t="s">
        <v>1</v>
      </c>
    </row>
    <row r="5" customFormat="false" ht="15" hidden="false" customHeight="true" outlineLevel="0" collapsed="false">
      <c r="B5" s="4" t="s">
        <v>2</v>
      </c>
      <c r="C5" s="4"/>
      <c r="D5" s="4"/>
      <c r="E5" s="4"/>
      <c r="F5" s="4"/>
      <c r="G5" s="4"/>
      <c r="H5" s="4"/>
      <c r="I5" s="4"/>
    </row>
    <row r="6" customFormat="false" ht="15" hidden="false" customHeight="false" outlineLevel="0" collapsed="false">
      <c r="B6" s="4"/>
      <c r="C6" s="4"/>
      <c r="D6" s="4"/>
      <c r="E6" s="4"/>
      <c r="F6" s="4"/>
      <c r="G6" s="4"/>
      <c r="H6" s="4"/>
      <c r="I6" s="4"/>
    </row>
    <row r="7" customFormat="false" ht="15" hidden="false" customHeight="false" outlineLevel="0" collapsed="false">
      <c r="B7" s="4"/>
      <c r="C7" s="4"/>
      <c r="D7" s="4"/>
      <c r="E7" s="4"/>
      <c r="F7" s="4"/>
      <c r="G7" s="4"/>
      <c r="H7" s="4"/>
      <c r="I7" s="4"/>
    </row>
    <row r="8" customFormat="false" ht="15" hidden="false" customHeight="false" outlineLevel="0" collapsed="false">
      <c r="B8" s="4"/>
      <c r="C8" s="4"/>
      <c r="D8" s="4"/>
      <c r="E8" s="4"/>
      <c r="F8" s="4"/>
      <c r="G8" s="4"/>
      <c r="H8" s="4"/>
      <c r="I8" s="4"/>
    </row>
    <row r="9" customFormat="false" ht="15" hidden="false" customHeight="false" outlineLevel="0" collapsed="false">
      <c r="B9" s="4"/>
      <c r="C9" s="4"/>
      <c r="D9" s="4"/>
      <c r="E9" s="4"/>
      <c r="F9" s="4"/>
      <c r="G9" s="4"/>
      <c r="H9" s="4"/>
      <c r="I9" s="4"/>
    </row>
    <row r="10" customFormat="false" ht="15" hidden="false" customHeight="false" outlineLevel="0" collapsed="false">
      <c r="B10" s="4"/>
      <c r="C10" s="4"/>
      <c r="D10" s="4"/>
      <c r="E10" s="4"/>
      <c r="F10" s="4"/>
      <c r="G10" s="4"/>
      <c r="H10" s="4"/>
      <c r="I10" s="4"/>
    </row>
    <row r="11" customFormat="false" ht="15" hidden="false" customHeight="false" outlineLevel="0" collapsed="false">
      <c r="B11" s="4"/>
      <c r="C11" s="4"/>
      <c r="D11" s="4"/>
      <c r="E11" s="4"/>
      <c r="F11" s="4"/>
      <c r="G11" s="4"/>
      <c r="H11" s="4"/>
      <c r="I11" s="4"/>
    </row>
  </sheetData>
  <mergeCells count="1">
    <mergeCell ref="B5:I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6"/>
    <col collapsed="false" customWidth="true" hidden="false" outlineLevel="0" max="8" min="3" style="1" width="15"/>
  </cols>
  <sheetData>
    <row r="2" customFormat="false" ht="17.35" hidden="false" customHeight="false" outlineLevel="0" collapsed="false">
      <c r="B2" s="5" t="s">
        <v>3</v>
      </c>
      <c r="C2" s="5"/>
      <c r="D2" s="5"/>
      <c r="E2" s="5"/>
      <c r="F2" s="5"/>
      <c r="G2" s="5"/>
    </row>
    <row r="3" customFormat="false" ht="15" hidden="false" customHeight="false" outlineLevel="0" collapsed="false"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</row>
    <row r="4" customFormat="false" ht="15" hidden="false" customHeight="false" outlineLevel="0" collapsed="false">
      <c r="B4" s="7" t="s">
        <v>11</v>
      </c>
      <c r="C4" s="8" t="n">
        <v>0.1</v>
      </c>
      <c r="D4" s="8" t="n">
        <v>0.2</v>
      </c>
      <c r="E4" s="8" t="n">
        <v>0.25</v>
      </c>
      <c r="F4" s="8" t="n">
        <v>0.3</v>
      </c>
      <c r="G4" s="9" t="n">
        <v>0.075</v>
      </c>
      <c r="H4" s="9" t="n">
        <v>0.16</v>
      </c>
    </row>
    <row r="5" customFormat="false" ht="15" hidden="false" customHeight="false" outlineLevel="0" collapsed="false">
      <c r="B5" s="7" t="s">
        <v>12</v>
      </c>
      <c r="C5" s="8" t="n">
        <v>0.1</v>
      </c>
      <c r="D5" s="8" t="n">
        <v>0.2</v>
      </c>
      <c r="E5" s="8" t="n">
        <v>0.3</v>
      </c>
      <c r="F5" s="8" t="n">
        <v>0.35</v>
      </c>
      <c r="G5" s="9" t="n">
        <v>0.09</v>
      </c>
      <c r="H5" s="9" t="n">
        <v>0.17</v>
      </c>
    </row>
    <row r="6" customFormat="false" ht="15" hidden="false" customHeight="false" outlineLevel="0" collapsed="false">
      <c r="B6" s="7" t="s">
        <v>13</v>
      </c>
      <c r="C6" s="8" t="n">
        <v>0.05</v>
      </c>
      <c r="D6" s="8" t="n">
        <v>0.1</v>
      </c>
      <c r="E6" s="8" t="n">
        <v>0.15</v>
      </c>
      <c r="F6" s="8" t="n">
        <v>0.2</v>
      </c>
      <c r="G6" s="9" t="n">
        <v>0.08</v>
      </c>
      <c r="H6" s="9" t="n">
        <v>0.18</v>
      </c>
    </row>
    <row r="7" customFormat="false" ht="15" hidden="false" customHeight="false" outlineLevel="0" collapsed="false">
      <c r="B7" s="7" t="s">
        <v>14</v>
      </c>
      <c r="C7" s="8" t="n">
        <v>0.45</v>
      </c>
      <c r="D7" s="8" t="n">
        <v>0.3</v>
      </c>
      <c r="E7" s="8" t="n">
        <v>0.15</v>
      </c>
      <c r="F7" s="8" t="n">
        <v>0.08</v>
      </c>
      <c r="G7" s="9" t="n">
        <v>0.035</v>
      </c>
      <c r="H7" s="9" t="n">
        <v>0.05</v>
      </c>
    </row>
    <row r="8" customFormat="false" ht="15" hidden="false" customHeight="false" outlineLevel="0" collapsed="false">
      <c r="B8" s="7" t="s">
        <v>15</v>
      </c>
      <c r="C8" s="8" t="n">
        <v>0.2</v>
      </c>
      <c r="D8" s="8" t="n">
        <v>0.15</v>
      </c>
      <c r="E8" s="8" t="n">
        <v>0.1</v>
      </c>
      <c r="F8" s="8" t="n">
        <v>0.05</v>
      </c>
      <c r="G8" s="9" t="n">
        <v>0.04</v>
      </c>
      <c r="H8" s="9" t="n">
        <v>0.06</v>
      </c>
    </row>
    <row r="9" customFormat="false" ht="15" hidden="false" customHeight="false" outlineLevel="0" collapsed="false">
      <c r="B9" s="7" t="s">
        <v>16</v>
      </c>
      <c r="C9" s="8" t="n">
        <v>0.1</v>
      </c>
      <c r="D9" s="8" t="n">
        <v>0.05</v>
      </c>
      <c r="E9" s="8" t="n">
        <v>0.05</v>
      </c>
      <c r="F9" s="8" t="n">
        <v>0.02</v>
      </c>
      <c r="G9" s="9" t="n">
        <v>0.02</v>
      </c>
      <c r="H9" s="9" t="n">
        <v>0.005</v>
      </c>
    </row>
    <row r="10" customFormat="false" ht="15" hidden="false" customHeight="false" outlineLevel="0" collapsed="false">
      <c r="B10" s="7" t="s">
        <v>17</v>
      </c>
      <c r="C10" s="10" t="n">
        <f aca="false">SUM(C4:C9)</f>
        <v>1</v>
      </c>
      <c r="D10" s="10" t="n">
        <f aca="false">SUM(D4:D9)</f>
        <v>1</v>
      </c>
      <c r="E10" s="10" t="n">
        <f aca="false">SUM(E4:E9)</f>
        <v>1</v>
      </c>
      <c r="F10" s="10" t="n">
        <f aca="false">SUM(F4:F9)</f>
        <v>1</v>
      </c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6"/>
    <col collapsed="false" customWidth="true" hidden="false" outlineLevel="0" max="3" min="3" style="1" width="18"/>
    <col collapsed="false" customWidth="true" hidden="false" outlineLevel="0" max="4" min="4" style="1" width="40"/>
  </cols>
  <sheetData>
    <row r="2" customFormat="false" ht="19.7" hidden="false" customHeight="false" outlineLevel="0" collapsed="false">
      <c r="B2" s="11" t="s">
        <v>18</v>
      </c>
      <c r="C2" s="11"/>
      <c r="D2" s="11"/>
    </row>
    <row r="4" customFormat="false" ht="15" hidden="false" customHeight="false" outlineLevel="0" collapsed="false">
      <c r="B4" s="7" t="s">
        <v>19</v>
      </c>
      <c r="C4" s="12" t="n">
        <v>500000</v>
      </c>
    </row>
    <row r="5" customFormat="false" ht="15" hidden="false" customHeight="false" outlineLevel="0" collapsed="false">
      <c r="B5" s="7" t="s">
        <v>20</v>
      </c>
      <c r="C5" s="13" t="s">
        <v>7</v>
      </c>
    </row>
    <row r="6" customFormat="false" ht="15" hidden="false" customHeight="false" outlineLevel="0" collapsed="false">
      <c r="B6" s="7" t="s">
        <v>21</v>
      </c>
      <c r="C6" s="14" t="n">
        <v>0.03</v>
      </c>
    </row>
  </sheetData>
  <mergeCells count="1">
    <mergeCell ref="B2:D2"/>
  </mergeCells>
  <dataValidations count="1">
    <dataValidation allowBlank="false" errorStyle="stop" operator="between" showDropDown="false" showErrorMessage="false" showInputMessage="false" sqref="C5" type="list">
      <formula1>"Conservative,Balanced,Growth,Aggressive"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4"/>
    <col collapsed="false" customWidth="true" hidden="false" outlineLevel="0" max="8" min="3" style="1" width="14"/>
  </cols>
  <sheetData>
    <row r="2" customFormat="false" ht="19.7" hidden="false" customHeight="false" outlineLevel="0" collapsed="false">
      <c r="B2" s="11" t="s">
        <v>22</v>
      </c>
      <c r="C2" s="11"/>
      <c r="D2" s="11"/>
      <c r="E2" s="11"/>
      <c r="F2" s="11"/>
      <c r="G2" s="11"/>
      <c r="H2" s="11"/>
    </row>
    <row r="4" customFormat="false" ht="15" hidden="false" customHeight="false" outlineLevel="0" collapsed="false">
      <c r="B4" s="6" t="s">
        <v>4</v>
      </c>
      <c r="C4" s="6" t="s">
        <v>23</v>
      </c>
      <c r="D4" s="6" t="s">
        <v>24</v>
      </c>
      <c r="E4" s="6" t="s">
        <v>25</v>
      </c>
      <c r="F4" s="6" t="s">
        <v>26</v>
      </c>
      <c r="G4" s="6" t="s">
        <v>27</v>
      </c>
      <c r="H4" s="6" t="s">
        <v>28</v>
      </c>
    </row>
    <row r="5" customFormat="false" ht="15" hidden="false" customHeight="false" outlineLevel="0" collapsed="false">
      <c r="B5" s="7" t="s">
        <v>11</v>
      </c>
      <c r="C5" s="12" t="n">
        <v>175000</v>
      </c>
      <c r="D5" s="15" t="n">
        <f aca="false">C5/SUM($C$5:$C$10)</f>
        <v>0.35</v>
      </c>
      <c r="E5" s="16" t="n">
        <f aca="false">INDEX(Targets!$C$4:$F$9, MATCH(B5, Targets!$B$4:$B$9, 0), MATCH(RiskProf, Targets!$C$3:$F$3, 0))</f>
        <v>0.25</v>
      </c>
      <c r="F5" s="17" t="n">
        <f aca="false">E5*PortValue</f>
        <v>125000</v>
      </c>
      <c r="G5" s="18" t="n">
        <f aca="false">D5-E5</f>
        <v>0.1</v>
      </c>
      <c r="H5" s="19" t="str">
        <f aca="false">IF(ABS(G5)&lt;=ReBalThresh,"HOLD",IF(G5&gt;0,"SELL","BUY"))</f>
        <v>SELL</v>
      </c>
    </row>
    <row r="6" customFormat="false" ht="15" hidden="false" customHeight="false" outlineLevel="0" collapsed="false">
      <c r="B6" s="7" t="s">
        <v>12</v>
      </c>
      <c r="C6" s="12" t="n">
        <v>140000</v>
      </c>
      <c r="D6" s="15" t="n">
        <f aca="false">C6/SUM($C$5:$C$10)</f>
        <v>0.28</v>
      </c>
      <c r="E6" s="16" t="n">
        <f aca="false">INDEX(Targets!$C$4:$F$9, MATCH(B6, Targets!$B$4:$B$9, 0), MATCH(RiskProf, Targets!$C$3:$F$3, 0))</f>
        <v>0.3</v>
      </c>
      <c r="F6" s="17" t="n">
        <f aca="false">E6*PortValue</f>
        <v>150000</v>
      </c>
      <c r="G6" s="18" t="n">
        <f aca="false">D6-E6</f>
        <v>-0.02</v>
      </c>
      <c r="H6" s="19" t="str">
        <f aca="false">IF(ABS(G6)&lt;=ReBalThresh,"HOLD",IF(G6&gt;0,"SELL","BUY"))</f>
        <v>HOLD</v>
      </c>
    </row>
    <row r="7" customFormat="false" ht="15" hidden="false" customHeight="false" outlineLevel="0" collapsed="false">
      <c r="B7" s="7" t="s">
        <v>13</v>
      </c>
      <c r="C7" s="12" t="n">
        <v>40000</v>
      </c>
      <c r="D7" s="15" t="n">
        <f aca="false">C7/SUM($C$5:$C$10)</f>
        <v>0.08</v>
      </c>
      <c r="E7" s="16" t="n">
        <f aca="false">INDEX(Targets!$C$4:$F$9, MATCH(B7, Targets!$B$4:$B$9, 0), MATCH(RiskProf, Targets!$C$3:$F$3, 0))</f>
        <v>0.15</v>
      </c>
      <c r="F7" s="17" t="n">
        <f aca="false">E7*PortValue</f>
        <v>75000</v>
      </c>
      <c r="G7" s="18" t="n">
        <f aca="false">D7-E7</f>
        <v>-0.07</v>
      </c>
      <c r="H7" s="19" t="str">
        <f aca="false">IF(ABS(G7)&lt;=ReBalThresh,"HOLD",IF(G7&gt;0,"SELL","BUY"))</f>
        <v>BUY</v>
      </c>
    </row>
    <row r="8" customFormat="false" ht="15" hidden="false" customHeight="false" outlineLevel="0" collapsed="false">
      <c r="B8" s="7" t="s">
        <v>14</v>
      </c>
      <c r="C8" s="12" t="n">
        <v>85000</v>
      </c>
      <c r="D8" s="15" t="n">
        <f aca="false">C8/SUM($C$5:$C$10)</f>
        <v>0.17</v>
      </c>
      <c r="E8" s="16" t="n">
        <f aca="false">INDEX(Targets!$C$4:$F$9, MATCH(B8, Targets!$B$4:$B$9, 0), MATCH(RiskProf, Targets!$C$3:$F$3, 0))</f>
        <v>0.15</v>
      </c>
      <c r="F8" s="17" t="n">
        <f aca="false">E8*PortValue</f>
        <v>75000</v>
      </c>
      <c r="G8" s="18" t="n">
        <f aca="false">D8-E8</f>
        <v>0.02</v>
      </c>
      <c r="H8" s="19" t="str">
        <f aca="false">IF(ABS(G8)&lt;=ReBalThresh,"HOLD",IF(G8&gt;0,"SELL","BUY"))</f>
        <v>HOLD</v>
      </c>
    </row>
    <row r="9" customFormat="false" ht="15" hidden="false" customHeight="false" outlineLevel="0" collapsed="false">
      <c r="B9" s="7" t="s">
        <v>15</v>
      </c>
      <c r="C9" s="12" t="n">
        <v>40000</v>
      </c>
      <c r="D9" s="15" t="n">
        <f aca="false">C9/SUM($C$5:$C$10)</f>
        <v>0.08</v>
      </c>
      <c r="E9" s="16" t="n">
        <f aca="false">INDEX(Targets!$C$4:$F$9, MATCH(B9, Targets!$B$4:$B$9, 0), MATCH(RiskProf, Targets!$C$3:$F$3, 0))</f>
        <v>0.1</v>
      </c>
      <c r="F9" s="17" t="n">
        <f aca="false">E9*PortValue</f>
        <v>50000</v>
      </c>
      <c r="G9" s="18" t="n">
        <f aca="false">D9-E9</f>
        <v>-0.02</v>
      </c>
      <c r="H9" s="19" t="str">
        <f aca="false">IF(ABS(G9)&lt;=ReBalThresh,"HOLD",IF(G9&gt;0,"SELL","BUY"))</f>
        <v>HOLD</v>
      </c>
    </row>
    <row r="10" customFormat="false" ht="15" hidden="false" customHeight="false" outlineLevel="0" collapsed="false">
      <c r="B10" s="7" t="s">
        <v>16</v>
      </c>
      <c r="C10" s="12" t="n">
        <v>20000</v>
      </c>
      <c r="D10" s="15" t="n">
        <f aca="false">C10/SUM($C$5:$C$10)</f>
        <v>0.04</v>
      </c>
      <c r="E10" s="16" t="n">
        <f aca="false">INDEX(Targets!$C$4:$F$9, MATCH(B10, Targets!$B$4:$B$9, 0), MATCH(RiskProf, Targets!$C$3:$F$3, 0))</f>
        <v>0.05</v>
      </c>
      <c r="F10" s="17" t="n">
        <f aca="false">E10*PortValue</f>
        <v>25000</v>
      </c>
      <c r="G10" s="18" t="n">
        <f aca="false">D10-E10</f>
        <v>-0.01</v>
      </c>
      <c r="H10" s="19" t="str">
        <f aca="false">IF(ABS(G10)&lt;=ReBalThresh,"HOLD",IF(G10&gt;0,"SELL","BUY"))</f>
        <v>HOLD</v>
      </c>
    </row>
    <row r="11" customFormat="false" ht="15" hidden="false" customHeight="false" outlineLevel="0" collapsed="false">
      <c r="B11" s="7" t="s">
        <v>17</v>
      </c>
      <c r="C11" s="17" t="n">
        <f aca="false">SUM(C5:C10)</f>
        <v>500000</v>
      </c>
      <c r="D11" s="10" t="n">
        <f aca="false">SUM(D5:D10)</f>
        <v>1</v>
      </c>
      <c r="E11" s="10" t="n">
        <f aca="false">SUM(E5:E10)</f>
        <v>1</v>
      </c>
      <c r="F11" s="17" t="n">
        <f aca="false">SUM(F5:F10)</f>
        <v>500000</v>
      </c>
    </row>
    <row r="13" customFormat="false" ht="16.15" hidden="false" customHeight="false" outlineLevel="0" collapsed="false">
      <c r="B13" s="20" t="s">
        <v>29</v>
      </c>
      <c r="C13" s="20"/>
      <c r="D13" s="20"/>
    </row>
    <row r="14" customFormat="false" ht="15" hidden="false" customHeight="false" outlineLevel="0" collapsed="false">
      <c r="B14" s="7" t="s">
        <v>30</v>
      </c>
      <c r="C14" s="21" t="n">
        <f aca="false">SUMPRODUCT(D5:D10, Targets!G4:G9)</f>
        <v>0.0678</v>
      </c>
    </row>
    <row r="15" customFormat="false" ht="15" hidden="false" customHeight="false" outlineLevel="0" collapsed="false">
      <c r="B15" s="7" t="s">
        <v>31</v>
      </c>
      <c r="C15" s="21" t="n">
        <f aca="false">SUMPRODUCT(E5:E10, Targets!G4:G9)</f>
        <v>0.068</v>
      </c>
    </row>
    <row r="16" customFormat="false" ht="15" hidden="false" customHeight="false" outlineLevel="0" collapsed="false">
      <c r="B16" s="7" t="s">
        <v>32</v>
      </c>
      <c r="C16" s="22" t="n">
        <f aca="false">SUMPRODUCT(D5:D10, Targets!H4:H9)</f>
        <v>0.1315</v>
      </c>
    </row>
    <row r="17" customFormat="false" ht="15" hidden="false" customHeight="false" outlineLevel="0" collapsed="false">
      <c r="B17" s="7" t="s">
        <v>33</v>
      </c>
      <c r="C17" s="22" t="n">
        <f aca="false">SUMPRODUCT(E5:E10, Targets!H4:H9)</f>
        <v>0.13175</v>
      </c>
    </row>
    <row r="18" customFormat="false" ht="15" hidden="false" customHeight="false" outlineLevel="0" collapsed="false">
      <c r="B18" s="7" t="s">
        <v>34</v>
      </c>
      <c r="C18" s="23" t="n">
        <f aca="false">C15/C17</f>
        <v>0.516129032258065</v>
      </c>
    </row>
  </sheetData>
  <mergeCells count="2">
    <mergeCell ref="B2:H2"/>
    <mergeCell ref="B13:D13"/>
  </mergeCells>
  <conditionalFormatting sqref="G5:G10">
    <cfRule type="colorScale" priority="2">
      <colorScale>
        <cfvo type="num" val="-0.1"/>
        <cfvo type="num" val="0"/>
        <cfvo type="num" val="0.1"/>
        <color rgb="FFE74C3C"/>
        <color rgb="FFFFFFFF"/>
        <color rgb="FF2ECC71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20"/>
  </cols>
  <sheetData>
    <row r="2" customFormat="false" ht="19.7" hidden="false" customHeight="false" outlineLevel="0" collapsed="false">
      <c r="B2" s="24" t="s">
        <v>35</v>
      </c>
    </row>
    <row r="3" customFormat="false" ht="15" hidden="false" customHeight="false" outlineLevel="0" collapsed="false">
      <c r="B3" s="3" t="s">
        <v>36</v>
      </c>
    </row>
    <row r="5" customFormat="false" ht="900" hidden="false" customHeight="true" outlineLevel="0" collapsed="false">
      <c r="B5" s="25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2026-04-25T02:26:35Z</dcterms:created>
  <dc:creator>openpyxl</dc:creator>
  <dc:description/>
  <dc:language>en-US</dc:language>
  <cp:lastModifiedBy/>
  <dcterms:modified xsi:type="dcterms:W3CDTF">2026-04-25T02:26:35Z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